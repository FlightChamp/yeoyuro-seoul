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4417FCD-3867-484B-98C0-09F8C0DB5078}" xr6:coauthVersionLast="47" xr6:coauthVersionMax="47" xr10:uidLastSave="{00000000-0000-0000-0000-000000000000}"/>
  <bookViews>
    <workbookView xWindow="9390" yWindow="3855" windowWidth="28800" windowHeight="15345" activeTab="3" xr2:uid="{00000000-000D-0000-FFFF-FFFF00000000}"/>
  </bookViews>
  <sheets>
    <sheet name="Guide" sheetId="1" r:id="rId1"/>
    <sheet name="Config" sheetId="2" r:id="rId2"/>
    <sheet name="Station_Display_Master" sheetId="3" r:id="rId3"/>
    <sheet name="Station_Visual_Nodes" sheetId="4" r:id="rId4"/>
    <sheet name="Station_Click_Areas" sheetId="5" r:id="rId5"/>
    <sheet name="Station_Labels" sheetId="6" r:id="rId6"/>
    <sheet name="Line_Sequences" sheetId="7" r:id="rId7"/>
    <sheet name="Transfer_Links" sheetId="8" r:id="rId8"/>
    <sheet name="Map_Layer_Order" sheetId="9" r:id="rId9"/>
    <sheet name="Project_Scope" sheetId="10" r:id="rId10"/>
    <sheet name="AI_Handoff_Prompt" sheetId="11" r:id="rId11"/>
    <sheet name="Sourc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8" i="4" l="1"/>
  <c r="K198" i="4"/>
  <c r="K199" i="4"/>
  <c r="K2" i="4"/>
  <c r="G241" i="5"/>
  <c r="G241" i="6" s="1"/>
  <c r="I241" i="6" s="1"/>
  <c r="F241" i="5"/>
  <c r="F241" i="6" s="1"/>
  <c r="G240" i="5"/>
  <c r="G240" i="6" s="1"/>
  <c r="I240" i="6" s="1"/>
  <c r="F240" i="5"/>
  <c r="F240" i="6" s="1"/>
  <c r="G239" i="5"/>
  <c r="G239" i="6" s="1"/>
  <c r="I239" i="6" s="1"/>
  <c r="F239" i="5"/>
  <c r="F239" i="6" s="1"/>
  <c r="G238" i="5"/>
  <c r="G238" i="6" s="1"/>
  <c r="I238" i="6" s="1"/>
  <c r="F238" i="5"/>
  <c r="F238" i="6" s="1"/>
  <c r="G237" i="5"/>
  <c r="G237" i="6" s="1"/>
  <c r="I237" i="6" s="1"/>
  <c r="F237" i="5"/>
  <c r="F237" i="6" s="1"/>
  <c r="G236" i="5"/>
  <c r="G236" i="6" s="1"/>
  <c r="I236" i="6" s="1"/>
  <c r="F236" i="5"/>
  <c r="F236" i="6" s="1"/>
  <c r="G235" i="5"/>
  <c r="G235" i="6" s="1"/>
  <c r="I235" i="6" s="1"/>
  <c r="F235" i="5"/>
  <c r="F235" i="6" s="1"/>
  <c r="G234" i="5"/>
  <c r="G234" i="6" s="1"/>
  <c r="I234" i="6" s="1"/>
  <c r="F234" i="5"/>
  <c r="F234" i="6" s="1"/>
  <c r="G233" i="5"/>
  <c r="G233" i="6" s="1"/>
  <c r="I233" i="6" s="1"/>
  <c r="F233" i="5"/>
  <c r="F233" i="6" s="1"/>
  <c r="G232" i="5"/>
  <c r="G232" i="6" s="1"/>
  <c r="I232" i="6" s="1"/>
  <c r="F232" i="5"/>
  <c r="F232" i="6" s="1"/>
  <c r="G231" i="5"/>
  <c r="G231" i="6" s="1"/>
  <c r="I231" i="6" s="1"/>
  <c r="F231" i="5"/>
  <c r="F231" i="6" s="1"/>
  <c r="G230" i="5"/>
  <c r="G230" i="6" s="1"/>
  <c r="I230" i="6" s="1"/>
  <c r="F230" i="5"/>
  <c r="F230" i="6" s="1"/>
  <c r="G229" i="5"/>
  <c r="G229" i="6" s="1"/>
  <c r="I229" i="6" s="1"/>
  <c r="F229" i="5"/>
  <c r="F229" i="6" s="1"/>
  <c r="G228" i="5"/>
  <c r="G228" i="6" s="1"/>
  <c r="I228" i="6" s="1"/>
  <c r="F228" i="5"/>
  <c r="F228" i="6" s="1"/>
  <c r="G227" i="5"/>
  <c r="G227" i="6" s="1"/>
  <c r="I227" i="6" s="1"/>
  <c r="F227" i="5"/>
  <c r="F227" i="6" s="1"/>
  <c r="G226" i="5"/>
  <c r="G226" i="6" s="1"/>
  <c r="I226" i="6" s="1"/>
  <c r="F226" i="5"/>
  <c r="F226" i="6" s="1"/>
  <c r="G225" i="5"/>
  <c r="G225" i="6" s="1"/>
  <c r="I225" i="6" s="1"/>
  <c r="F225" i="5"/>
  <c r="F225" i="6" s="1"/>
  <c r="G224" i="5"/>
  <c r="G224" i="6" s="1"/>
  <c r="I224" i="6" s="1"/>
  <c r="F224" i="5"/>
  <c r="F224" i="6" s="1"/>
  <c r="G223" i="5"/>
  <c r="G223" i="6" s="1"/>
  <c r="I223" i="6" s="1"/>
  <c r="F223" i="5"/>
  <c r="F223" i="6" s="1"/>
  <c r="G222" i="5"/>
  <c r="G222" i="6" s="1"/>
  <c r="I222" i="6" s="1"/>
  <c r="F222" i="5"/>
  <c r="F222" i="6" s="1"/>
  <c r="G221" i="5"/>
  <c r="G221" i="6" s="1"/>
  <c r="I221" i="6" s="1"/>
  <c r="F221" i="5"/>
  <c r="F221" i="6" s="1"/>
  <c r="G220" i="5"/>
  <c r="G220" i="6" s="1"/>
  <c r="I220" i="6" s="1"/>
  <c r="F220" i="5"/>
  <c r="F220" i="6" s="1"/>
  <c r="G219" i="5"/>
  <c r="G219" i="6" s="1"/>
  <c r="I219" i="6" s="1"/>
  <c r="F219" i="5"/>
  <c r="F219" i="6" s="1"/>
  <c r="G218" i="5"/>
  <c r="G218" i="6" s="1"/>
  <c r="I218" i="6" s="1"/>
  <c r="F218" i="5"/>
  <c r="F218" i="6" s="1"/>
  <c r="H218" i="6" s="1"/>
  <c r="G217" i="5"/>
  <c r="G217" i="6" s="1"/>
  <c r="I217" i="6" s="1"/>
  <c r="F217" i="5"/>
  <c r="F217" i="6" s="1"/>
  <c r="G216" i="5"/>
  <c r="G216" i="6" s="1"/>
  <c r="I216" i="6" s="1"/>
  <c r="F216" i="5"/>
  <c r="F216" i="6" s="1"/>
  <c r="G215" i="5"/>
  <c r="G215" i="6" s="1"/>
  <c r="I215" i="6" s="1"/>
  <c r="F215" i="5"/>
  <c r="F215" i="6" s="1"/>
  <c r="G214" i="5"/>
  <c r="G214" i="6" s="1"/>
  <c r="I214" i="6" s="1"/>
  <c r="F214" i="5"/>
  <c r="F214" i="6" s="1"/>
  <c r="G213" i="5"/>
  <c r="G213" i="6" s="1"/>
  <c r="I213" i="6" s="1"/>
  <c r="F213" i="5"/>
  <c r="F213" i="6" s="1"/>
  <c r="G212" i="5"/>
  <c r="G212" i="6" s="1"/>
  <c r="I212" i="6" s="1"/>
  <c r="F212" i="5"/>
  <c r="F212" i="6" s="1"/>
  <c r="G211" i="5"/>
  <c r="G211" i="6" s="1"/>
  <c r="I211" i="6" s="1"/>
  <c r="F211" i="5"/>
  <c r="F211" i="6" s="1"/>
  <c r="G210" i="5"/>
  <c r="G210" i="6" s="1"/>
  <c r="I210" i="6" s="1"/>
  <c r="F210" i="5"/>
  <c r="F210" i="6" s="1"/>
  <c r="G209" i="5"/>
  <c r="G209" i="6" s="1"/>
  <c r="I209" i="6" s="1"/>
  <c r="F209" i="5"/>
  <c r="F209" i="6" s="1"/>
  <c r="G208" i="5"/>
  <c r="G208" i="6" s="1"/>
  <c r="I208" i="6" s="1"/>
  <c r="F208" i="5"/>
  <c r="F208" i="6" s="1"/>
  <c r="G207" i="5"/>
  <c r="G207" i="6" s="1"/>
  <c r="I207" i="6" s="1"/>
  <c r="F207" i="5"/>
  <c r="F207" i="6" s="1"/>
  <c r="G206" i="5"/>
  <c r="G206" i="6" s="1"/>
  <c r="I206" i="6" s="1"/>
  <c r="F206" i="5"/>
  <c r="F206" i="6" s="1"/>
  <c r="H206" i="6" s="1"/>
  <c r="G205" i="5"/>
  <c r="G205" i="6" s="1"/>
  <c r="I205" i="6" s="1"/>
  <c r="F205" i="5"/>
  <c r="F205" i="6" s="1"/>
  <c r="G204" i="5"/>
  <c r="G204" i="6" s="1"/>
  <c r="I204" i="6" s="1"/>
  <c r="F204" i="5"/>
  <c r="F204" i="6" s="1"/>
  <c r="G203" i="5"/>
  <c r="G203" i="6" s="1"/>
  <c r="I203" i="6" s="1"/>
  <c r="F203" i="5"/>
  <c r="F203" i="6" s="1"/>
  <c r="H203" i="6" s="1"/>
  <c r="G202" i="5"/>
  <c r="G202" i="6" s="1"/>
  <c r="I202" i="6" s="1"/>
  <c r="F202" i="5"/>
  <c r="F202" i="6" s="1"/>
  <c r="G201" i="5"/>
  <c r="G201" i="6" s="1"/>
  <c r="I201" i="6" s="1"/>
  <c r="F201" i="5"/>
  <c r="F201" i="6" s="1"/>
  <c r="G200" i="5"/>
  <c r="G200" i="6" s="1"/>
  <c r="I200" i="6" s="1"/>
  <c r="F200" i="5"/>
  <c r="F200" i="6" s="1"/>
  <c r="G199" i="5"/>
  <c r="G199" i="6" s="1"/>
  <c r="I199" i="6" s="1"/>
  <c r="F199" i="5"/>
  <c r="F199" i="6" s="1"/>
  <c r="G198" i="5"/>
  <c r="G198" i="6" s="1"/>
  <c r="I198" i="6" s="1"/>
  <c r="F198" i="5"/>
  <c r="F198" i="6" s="1"/>
  <c r="G197" i="5"/>
  <c r="G197" i="6" s="1"/>
  <c r="I197" i="6" s="1"/>
  <c r="F197" i="5"/>
  <c r="F197" i="6" s="1"/>
  <c r="G196" i="5"/>
  <c r="G196" i="6" s="1"/>
  <c r="I196" i="6" s="1"/>
  <c r="F196" i="5"/>
  <c r="F196" i="6" s="1"/>
  <c r="G195" i="5"/>
  <c r="G195" i="6" s="1"/>
  <c r="I195" i="6" s="1"/>
  <c r="F195" i="5"/>
  <c r="F195" i="6" s="1"/>
  <c r="G194" i="5"/>
  <c r="G194" i="6" s="1"/>
  <c r="I194" i="6" s="1"/>
  <c r="F194" i="5"/>
  <c r="F194" i="6" s="1"/>
  <c r="H194" i="6" s="1"/>
  <c r="G193" i="5"/>
  <c r="G193" i="6" s="1"/>
  <c r="I193" i="6" s="1"/>
  <c r="F193" i="5"/>
  <c r="F193" i="6" s="1"/>
  <c r="G192" i="5"/>
  <c r="G192" i="6" s="1"/>
  <c r="I192" i="6" s="1"/>
  <c r="F192" i="5"/>
  <c r="F192" i="6" s="1"/>
  <c r="G191" i="5"/>
  <c r="G191" i="6" s="1"/>
  <c r="I191" i="6" s="1"/>
  <c r="F191" i="5"/>
  <c r="F191" i="6" s="1"/>
  <c r="G190" i="5"/>
  <c r="G190" i="6" s="1"/>
  <c r="I190" i="6" s="1"/>
  <c r="F190" i="5"/>
  <c r="F190" i="6" s="1"/>
  <c r="G189" i="5"/>
  <c r="G189" i="6" s="1"/>
  <c r="I189" i="6" s="1"/>
  <c r="F189" i="5"/>
  <c r="F189" i="6" s="1"/>
  <c r="G188" i="5"/>
  <c r="F188" i="5"/>
  <c r="H188" i="5" s="1"/>
  <c r="G187" i="5"/>
  <c r="F187" i="5"/>
  <c r="F187" i="6" s="1"/>
  <c r="G186" i="5"/>
  <c r="G186" i="6" s="1"/>
  <c r="I186" i="6" s="1"/>
  <c r="F186" i="5"/>
  <c r="F186" i="6" s="1"/>
  <c r="G185" i="5"/>
  <c r="G185" i="6" s="1"/>
  <c r="I185" i="6" s="1"/>
  <c r="F185" i="5"/>
  <c r="F185" i="6" s="1"/>
  <c r="G184" i="5"/>
  <c r="G184" i="6" s="1"/>
  <c r="I184" i="6" s="1"/>
  <c r="F184" i="5"/>
  <c r="F184" i="6" s="1"/>
  <c r="G183" i="5"/>
  <c r="I183" i="5" s="1"/>
  <c r="F183" i="5"/>
  <c r="F183" i="6" s="1"/>
  <c r="G182" i="5"/>
  <c r="G182" i="6" s="1"/>
  <c r="I182" i="6" s="1"/>
  <c r="F182" i="5"/>
  <c r="F182" i="6" s="1"/>
  <c r="H182" i="6" s="1"/>
  <c r="G181" i="5"/>
  <c r="G181" i="6" s="1"/>
  <c r="I181" i="6" s="1"/>
  <c r="F181" i="5"/>
  <c r="G180" i="5"/>
  <c r="G180" i="6" s="1"/>
  <c r="I180" i="6" s="1"/>
  <c r="F180" i="5"/>
  <c r="G179" i="5"/>
  <c r="G179" i="6" s="1"/>
  <c r="I179" i="6" s="1"/>
  <c r="F179" i="5"/>
  <c r="F179" i="6" s="1"/>
  <c r="G178" i="5"/>
  <c r="G178" i="6" s="1"/>
  <c r="I178" i="6" s="1"/>
  <c r="F178" i="5"/>
  <c r="F178" i="6" s="1"/>
  <c r="H178" i="6" s="1"/>
  <c r="G177" i="5"/>
  <c r="G177" i="6" s="1"/>
  <c r="I177" i="6" s="1"/>
  <c r="F177" i="5"/>
  <c r="F177" i="6" s="1"/>
  <c r="G176" i="5"/>
  <c r="F176" i="5"/>
  <c r="F176" i="6" s="1"/>
  <c r="G175" i="5"/>
  <c r="F175" i="5"/>
  <c r="F175" i="6" s="1"/>
  <c r="G174" i="5"/>
  <c r="G174" i="6" s="1"/>
  <c r="I174" i="6" s="1"/>
  <c r="F174" i="5"/>
  <c r="G173" i="5"/>
  <c r="G173" i="6" s="1"/>
  <c r="I173" i="6" s="1"/>
  <c r="F173" i="5"/>
  <c r="F173" i="6" s="1"/>
  <c r="G172" i="5"/>
  <c r="G172" i="6" s="1"/>
  <c r="I172" i="6" s="1"/>
  <c r="F172" i="5"/>
  <c r="F172" i="6" s="1"/>
  <c r="G171" i="5"/>
  <c r="G171" i="6" s="1"/>
  <c r="I171" i="6" s="1"/>
  <c r="F171" i="5"/>
  <c r="F171" i="6" s="1"/>
  <c r="G170" i="5"/>
  <c r="G170" i="6" s="1"/>
  <c r="I170" i="6" s="1"/>
  <c r="F170" i="5"/>
  <c r="F170" i="6" s="1"/>
  <c r="H170" i="6" s="1"/>
  <c r="G169" i="5"/>
  <c r="F169" i="5"/>
  <c r="G168" i="5"/>
  <c r="F168" i="5"/>
  <c r="G167" i="5"/>
  <c r="G167" i="6" s="1"/>
  <c r="I167" i="6" s="1"/>
  <c r="F167" i="5"/>
  <c r="F167" i="6" s="1"/>
  <c r="H167" i="6" s="1"/>
  <c r="G166" i="5"/>
  <c r="G166" i="6" s="1"/>
  <c r="I166" i="6" s="1"/>
  <c r="F166" i="5"/>
  <c r="F166" i="6" s="1"/>
  <c r="H166" i="6" s="1"/>
  <c r="G165" i="5"/>
  <c r="G165" i="6" s="1"/>
  <c r="I165" i="6" s="1"/>
  <c r="F165" i="5"/>
  <c r="F165" i="6" s="1"/>
  <c r="G164" i="5"/>
  <c r="F164" i="5"/>
  <c r="F164" i="6" s="1"/>
  <c r="G163" i="5"/>
  <c r="F163" i="5"/>
  <c r="F163" i="6" s="1"/>
  <c r="H163" i="6" s="1"/>
  <c r="G162" i="5"/>
  <c r="G162" i="6" s="1"/>
  <c r="I162" i="6" s="1"/>
  <c r="F162" i="5"/>
  <c r="G161" i="5"/>
  <c r="G161" i="6" s="1"/>
  <c r="I161" i="6" s="1"/>
  <c r="F161" i="5"/>
  <c r="G160" i="5"/>
  <c r="F160" i="5"/>
  <c r="F160" i="6" s="1"/>
  <c r="H160" i="6" s="1"/>
  <c r="G159" i="5"/>
  <c r="G159" i="6" s="1"/>
  <c r="I159" i="6" s="1"/>
  <c r="F159" i="5"/>
  <c r="F159" i="6" s="1"/>
  <c r="G158" i="5"/>
  <c r="G158" i="6" s="1"/>
  <c r="I158" i="6" s="1"/>
  <c r="F158" i="5"/>
  <c r="F158" i="6" s="1"/>
  <c r="G157" i="5"/>
  <c r="F157" i="5"/>
  <c r="G156" i="5"/>
  <c r="F156" i="5"/>
  <c r="G155" i="5"/>
  <c r="G155" i="6" s="1"/>
  <c r="I155" i="6" s="1"/>
  <c r="F155" i="5"/>
  <c r="F155" i="6" s="1"/>
  <c r="H155" i="6" s="1"/>
  <c r="G154" i="5"/>
  <c r="G154" i="6" s="1"/>
  <c r="I154" i="6" s="1"/>
  <c r="F154" i="5"/>
  <c r="F154" i="6" s="1"/>
  <c r="H154" i="6" s="1"/>
  <c r="G153" i="5"/>
  <c r="G153" i="6" s="1"/>
  <c r="I153" i="6" s="1"/>
  <c r="F153" i="5"/>
  <c r="G152" i="5"/>
  <c r="F152" i="5"/>
  <c r="F152" i="6" s="1"/>
  <c r="G151" i="5"/>
  <c r="F151" i="5"/>
  <c r="F151" i="6" s="1"/>
  <c r="G150" i="5"/>
  <c r="G150" i="6" s="1"/>
  <c r="I150" i="6" s="1"/>
  <c r="F150" i="5"/>
  <c r="G149" i="5"/>
  <c r="G149" i="6" s="1"/>
  <c r="I149" i="6" s="1"/>
  <c r="F149" i="5"/>
  <c r="G148" i="5"/>
  <c r="F148" i="5"/>
  <c r="F148" i="6" s="1"/>
  <c r="H148" i="6" s="1"/>
  <c r="G147" i="5"/>
  <c r="G147" i="6" s="1"/>
  <c r="I147" i="6" s="1"/>
  <c r="F147" i="5"/>
  <c r="F147" i="6" s="1"/>
  <c r="H147" i="6" s="1"/>
  <c r="G146" i="5"/>
  <c r="G146" i="6" s="1"/>
  <c r="I146" i="6" s="1"/>
  <c r="F146" i="5"/>
  <c r="F146" i="6" s="1"/>
  <c r="G145" i="5"/>
  <c r="F145" i="5"/>
  <c r="G144" i="5"/>
  <c r="F144" i="5"/>
  <c r="G143" i="5"/>
  <c r="G143" i="6" s="1"/>
  <c r="I143" i="6" s="1"/>
  <c r="F143" i="5"/>
  <c r="F143" i="6" s="1"/>
  <c r="G142" i="5"/>
  <c r="G142" i="6" s="1"/>
  <c r="I142" i="6" s="1"/>
  <c r="F142" i="5"/>
  <c r="F142" i="6" s="1"/>
  <c r="H142" i="6" s="1"/>
  <c r="G141" i="5"/>
  <c r="G141" i="6" s="1"/>
  <c r="I141" i="6" s="1"/>
  <c r="F141" i="5"/>
  <c r="G140" i="5"/>
  <c r="F140" i="5"/>
  <c r="F140" i="6" s="1"/>
  <c r="G139" i="5"/>
  <c r="F139" i="5"/>
  <c r="F139" i="6" s="1"/>
  <c r="G138" i="5"/>
  <c r="G138" i="6" s="1"/>
  <c r="I138" i="6" s="1"/>
  <c r="F138" i="5"/>
  <c r="G137" i="5"/>
  <c r="G137" i="6" s="1"/>
  <c r="I137" i="6" s="1"/>
  <c r="F137" i="5"/>
  <c r="G136" i="5"/>
  <c r="F136" i="5"/>
  <c r="F136" i="6" s="1"/>
  <c r="H136" i="6" s="1"/>
  <c r="G135" i="5"/>
  <c r="G135" i="6" s="1"/>
  <c r="I135" i="6" s="1"/>
  <c r="F135" i="5"/>
  <c r="F135" i="6" s="1"/>
  <c r="H135" i="6" s="1"/>
  <c r="G134" i="5"/>
  <c r="G134" i="6" s="1"/>
  <c r="I134" i="6" s="1"/>
  <c r="F134" i="5"/>
  <c r="F134" i="6" s="1"/>
  <c r="G133" i="5"/>
  <c r="F133" i="5"/>
  <c r="G132" i="5"/>
  <c r="F132" i="5"/>
  <c r="G131" i="5"/>
  <c r="G131" i="6" s="1"/>
  <c r="I131" i="6" s="1"/>
  <c r="F131" i="5"/>
  <c r="F131" i="6" s="1"/>
  <c r="G130" i="5"/>
  <c r="G130" i="6" s="1"/>
  <c r="I130" i="6" s="1"/>
  <c r="F130" i="5"/>
  <c r="F130" i="6" s="1"/>
  <c r="H130" i="6" s="1"/>
  <c r="G129" i="5"/>
  <c r="G129" i="6" s="1"/>
  <c r="I129" i="6" s="1"/>
  <c r="F129" i="5"/>
  <c r="G128" i="5"/>
  <c r="G128" i="6" s="1"/>
  <c r="I128" i="6" s="1"/>
  <c r="F128" i="5"/>
  <c r="F128" i="6" s="1"/>
  <c r="G127" i="5"/>
  <c r="F127" i="5"/>
  <c r="F127" i="6" s="1"/>
  <c r="G126" i="5"/>
  <c r="G126" i="6" s="1"/>
  <c r="I126" i="6" s="1"/>
  <c r="F126" i="5"/>
  <c r="G125" i="5"/>
  <c r="G125" i="6" s="1"/>
  <c r="I125" i="6" s="1"/>
  <c r="F125" i="5"/>
  <c r="F125" i="6" s="1"/>
  <c r="G124" i="5"/>
  <c r="F124" i="5"/>
  <c r="F124" i="6" s="1"/>
  <c r="G123" i="5"/>
  <c r="G123" i="6" s="1"/>
  <c r="I123" i="6" s="1"/>
  <c r="F123" i="5"/>
  <c r="F123" i="6" s="1"/>
  <c r="G122" i="5"/>
  <c r="G122" i="6" s="1"/>
  <c r="I122" i="6" s="1"/>
  <c r="F122" i="5"/>
  <c r="F122" i="6" s="1"/>
  <c r="G121" i="5"/>
  <c r="G121" i="6" s="1"/>
  <c r="I121" i="6" s="1"/>
  <c r="F121" i="5"/>
  <c r="H121" i="5" s="1"/>
  <c r="G120" i="5"/>
  <c r="G120" i="6" s="1"/>
  <c r="I120" i="6" s="1"/>
  <c r="F120" i="5"/>
  <c r="H120" i="5" s="1"/>
  <c r="G119" i="5"/>
  <c r="F119" i="5"/>
  <c r="F119" i="6" s="1"/>
  <c r="G118" i="5"/>
  <c r="G118" i="6" s="1"/>
  <c r="I118" i="6" s="1"/>
  <c r="F118" i="5"/>
  <c r="G117" i="5"/>
  <c r="G117" i="6" s="1"/>
  <c r="I117" i="6" s="1"/>
  <c r="F117" i="5"/>
  <c r="G116" i="5"/>
  <c r="G116" i="6" s="1"/>
  <c r="I116" i="6" s="1"/>
  <c r="F116" i="5"/>
  <c r="F116" i="6" s="1"/>
  <c r="G115" i="5"/>
  <c r="I115" i="5" s="1"/>
  <c r="F115" i="5"/>
  <c r="F115" i="6" s="1"/>
  <c r="G114" i="5"/>
  <c r="G114" i="6" s="1"/>
  <c r="I114" i="6" s="1"/>
  <c r="F114" i="5"/>
  <c r="F114" i="6" s="1"/>
  <c r="G113" i="5"/>
  <c r="G113" i="6" s="1"/>
  <c r="I113" i="6" s="1"/>
  <c r="F113" i="5"/>
  <c r="F113" i="6" s="1"/>
  <c r="G112" i="5"/>
  <c r="F112" i="5"/>
  <c r="F112" i="6" s="1"/>
  <c r="G111" i="5"/>
  <c r="G111" i="6" s="1"/>
  <c r="I111" i="6" s="1"/>
  <c r="F111" i="5"/>
  <c r="F111" i="6" s="1"/>
  <c r="G110" i="5"/>
  <c r="G110" i="6" s="1"/>
  <c r="I110" i="6" s="1"/>
  <c r="F110" i="5"/>
  <c r="F110" i="6" s="1"/>
  <c r="G109" i="5"/>
  <c r="G109" i="6" s="1"/>
  <c r="I109" i="6" s="1"/>
  <c r="F109" i="5"/>
  <c r="F109" i="6" s="1"/>
  <c r="G108" i="5"/>
  <c r="G108" i="6" s="1"/>
  <c r="I108" i="6" s="1"/>
  <c r="F108" i="5"/>
  <c r="F108" i="6" s="1"/>
  <c r="G107" i="5"/>
  <c r="G107" i="6" s="1"/>
  <c r="I107" i="6" s="1"/>
  <c r="F107" i="5"/>
  <c r="F107" i="6" s="1"/>
  <c r="G106" i="5"/>
  <c r="G106" i="6" s="1"/>
  <c r="I106" i="6" s="1"/>
  <c r="F106" i="5"/>
  <c r="F106" i="6" s="1"/>
  <c r="G105" i="5"/>
  <c r="G105" i="6" s="1"/>
  <c r="I105" i="6" s="1"/>
  <c r="F105" i="5"/>
  <c r="F105" i="6" s="1"/>
  <c r="G104" i="5"/>
  <c r="G104" i="6" s="1"/>
  <c r="I104" i="6" s="1"/>
  <c r="F104" i="5"/>
  <c r="F104" i="6" s="1"/>
  <c r="G103" i="5"/>
  <c r="G103" i="6" s="1"/>
  <c r="I103" i="6" s="1"/>
  <c r="F103" i="5"/>
  <c r="F103" i="6" s="1"/>
  <c r="G102" i="5"/>
  <c r="G102" i="6" s="1"/>
  <c r="I102" i="6" s="1"/>
  <c r="F102" i="5"/>
  <c r="F102" i="6" s="1"/>
  <c r="G101" i="5"/>
  <c r="G101" i="6" s="1"/>
  <c r="I101" i="6" s="1"/>
  <c r="F101" i="5"/>
  <c r="F101" i="6" s="1"/>
  <c r="G100" i="5"/>
  <c r="G100" i="6" s="1"/>
  <c r="I100" i="6" s="1"/>
  <c r="F100" i="5"/>
  <c r="F100" i="6" s="1"/>
  <c r="G99" i="5"/>
  <c r="G99" i="6" s="1"/>
  <c r="I99" i="6" s="1"/>
  <c r="F99" i="5"/>
  <c r="F99" i="6" s="1"/>
  <c r="G98" i="5"/>
  <c r="G98" i="6" s="1"/>
  <c r="I98" i="6" s="1"/>
  <c r="F98" i="5"/>
  <c r="F98" i="6" s="1"/>
  <c r="G97" i="5"/>
  <c r="G97" i="6" s="1"/>
  <c r="I97" i="6" s="1"/>
  <c r="F97" i="5"/>
  <c r="F97" i="6" s="1"/>
  <c r="G96" i="5"/>
  <c r="G96" i="6" s="1"/>
  <c r="I96" i="6" s="1"/>
  <c r="F96" i="5"/>
  <c r="F96" i="6" s="1"/>
  <c r="G95" i="5"/>
  <c r="G95" i="6" s="1"/>
  <c r="I95" i="6" s="1"/>
  <c r="F95" i="5"/>
  <c r="F95" i="6" s="1"/>
  <c r="G94" i="5"/>
  <c r="G94" i="6" s="1"/>
  <c r="I94" i="6" s="1"/>
  <c r="F94" i="5"/>
  <c r="F94" i="6" s="1"/>
  <c r="G93" i="5"/>
  <c r="G93" i="6" s="1"/>
  <c r="I93" i="6" s="1"/>
  <c r="F93" i="5"/>
  <c r="F93" i="6" s="1"/>
  <c r="G92" i="5"/>
  <c r="G92" i="6" s="1"/>
  <c r="I92" i="6" s="1"/>
  <c r="F92" i="5"/>
  <c r="F92" i="6" s="1"/>
  <c r="G91" i="5"/>
  <c r="G91" i="6" s="1"/>
  <c r="I91" i="6" s="1"/>
  <c r="F91" i="5"/>
  <c r="F91" i="6" s="1"/>
  <c r="G90" i="5"/>
  <c r="G90" i="6" s="1"/>
  <c r="I90" i="6" s="1"/>
  <c r="F90" i="5"/>
  <c r="F90" i="6" s="1"/>
  <c r="G89" i="5"/>
  <c r="G89" i="6" s="1"/>
  <c r="I89" i="6" s="1"/>
  <c r="F89" i="5"/>
  <c r="F89" i="6" s="1"/>
  <c r="G88" i="5"/>
  <c r="G88" i="6" s="1"/>
  <c r="I88" i="6" s="1"/>
  <c r="F88" i="5"/>
  <c r="F88" i="6" s="1"/>
  <c r="G87" i="5"/>
  <c r="G87" i="6" s="1"/>
  <c r="I87" i="6" s="1"/>
  <c r="F87" i="5"/>
  <c r="F87" i="6" s="1"/>
  <c r="G86" i="5"/>
  <c r="G86" i="6" s="1"/>
  <c r="I86" i="6" s="1"/>
  <c r="F86" i="5"/>
  <c r="F86" i="6" s="1"/>
  <c r="G85" i="5"/>
  <c r="G85" i="6" s="1"/>
  <c r="I85" i="6" s="1"/>
  <c r="F85" i="5"/>
  <c r="F85" i="6" s="1"/>
  <c r="G84" i="5"/>
  <c r="G84" i="6" s="1"/>
  <c r="I84" i="6" s="1"/>
  <c r="F84" i="5"/>
  <c r="F84" i="6" s="1"/>
  <c r="G83" i="5"/>
  <c r="G83" i="6" s="1"/>
  <c r="I83" i="6" s="1"/>
  <c r="F83" i="5"/>
  <c r="F83" i="6" s="1"/>
  <c r="G82" i="5"/>
  <c r="G82" i="6" s="1"/>
  <c r="I82" i="6" s="1"/>
  <c r="F82" i="5"/>
  <c r="F82" i="6" s="1"/>
  <c r="G81" i="5"/>
  <c r="G81" i="6" s="1"/>
  <c r="I81" i="6" s="1"/>
  <c r="F81" i="5"/>
  <c r="F81" i="6" s="1"/>
  <c r="G80" i="5"/>
  <c r="G80" i="6" s="1"/>
  <c r="I80" i="6" s="1"/>
  <c r="F80" i="5"/>
  <c r="F80" i="6" s="1"/>
  <c r="G79" i="5"/>
  <c r="G79" i="6" s="1"/>
  <c r="I79" i="6" s="1"/>
  <c r="F79" i="5"/>
  <c r="F79" i="6" s="1"/>
  <c r="G78" i="5"/>
  <c r="G78" i="6" s="1"/>
  <c r="I78" i="6" s="1"/>
  <c r="F78" i="5"/>
  <c r="F78" i="6" s="1"/>
  <c r="G77" i="5"/>
  <c r="G77" i="6" s="1"/>
  <c r="I77" i="6" s="1"/>
  <c r="F77" i="5"/>
  <c r="F77" i="6" s="1"/>
  <c r="G76" i="5"/>
  <c r="G76" i="6" s="1"/>
  <c r="I76" i="6" s="1"/>
  <c r="F76" i="5"/>
  <c r="F76" i="6" s="1"/>
  <c r="G75" i="5"/>
  <c r="G75" i="6" s="1"/>
  <c r="I75" i="6" s="1"/>
  <c r="F75" i="5"/>
  <c r="F75" i="6" s="1"/>
  <c r="G74" i="5"/>
  <c r="G74" i="6" s="1"/>
  <c r="I74" i="6" s="1"/>
  <c r="F74" i="5"/>
  <c r="F74" i="6" s="1"/>
  <c r="G73" i="5"/>
  <c r="G73" i="6" s="1"/>
  <c r="I73" i="6" s="1"/>
  <c r="F73" i="5"/>
  <c r="F73" i="6" s="1"/>
  <c r="G72" i="5"/>
  <c r="G72" i="6" s="1"/>
  <c r="I72" i="6" s="1"/>
  <c r="F72" i="5"/>
  <c r="F72" i="6" s="1"/>
  <c r="G71" i="5"/>
  <c r="G71" i="6" s="1"/>
  <c r="I71" i="6" s="1"/>
  <c r="F71" i="5"/>
  <c r="F71" i="6" s="1"/>
  <c r="G70" i="5"/>
  <c r="G70" i="6" s="1"/>
  <c r="I70" i="6" s="1"/>
  <c r="F70" i="5"/>
  <c r="F70" i="6" s="1"/>
  <c r="G69" i="5"/>
  <c r="G69" i="6" s="1"/>
  <c r="I69" i="6" s="1"/>
  <c r="F69" i="5"/>
  <c r="F69" i="6" s="1"/>
  <c r="G68" i="5"/>
  <c r="G68" i="6" s="1"/>
  <c r="I68" i="6" s="1"/>
  <c r="F68" i="5"/>
  <c r="F68" i="6" s="1"/>
  <c r="G67" i="5"/>
  <c r="G67" i="6" s="1"/>
  <c r="I67" i="6" s="1"/>
  <c r="F67" i="5"/>
  <c r="F67" i="6" s="1"/>
  <c r="G66" i="5"/>
  <c r="G66" i="6" s="1"/>
  <c r="I66" i="6" s="1"/>
  <c r="F66" i="5"/>
  <c r="F66" i="6" s="1"/>
  <c r="G65" i="5"/>
  <c r="G65" i="6" s="1"/>
  <c r="I65" i="6" s="1"/>
  <c r="F65" i="5"/>
  <c r="F65" i="6" s="1"/>
  <c r="G64" i="5"/>
  <c r="G64" i="6" s="1"/>
  <c r="I64" i="6" s="1"/>
  <c r="F64" i="5"/>
  <c r="F64" i="6" s="1"/>
  <c r="G63" i="5"/>
  <c r="G63" i="6" s="1"/>
  <c r="I63" i="6" s="1"/>
  <c r="F63" i="5"/>
  <c r="F63" i="6" s="1"/>
  <c r="G62" i="5"/>
  <c r="G62" i="6" s="1"/>
  <c r="I62" i="6" s="1"/>
  <c r="F62" i="5"/>
  <c r="F62" i="6" s="1"/>
  <c r="G61" i="5"/>
  <c r="G61" i="6" s="1"/>
  <c r="I61" i="6" s="1"/>
  <c r="F61" i="5"/>
  <c r="F61" i="6" s="1"/>
  <c r="G60" i="5"/>
  <c r="G60" i="6" s="1"/>
  <c r="I60" i="6" s="1"/>
  <c r="F60" i="5"/>
  <c r="F60" i="6" s="1"/>
  <c r="G59" i="5"/>
  <c r="G59" i="6" s="1"/>
  <c r="I59" i="6" s="1"/>
  <c r="F59" i="5"/>
  <c r="F59" i="6" s="1"/>
  <c r="G58" i="5"/>
  <c r="G58" i="6" s="1"/>
  <c r="I58" i="6" s="1"/>
  <c r="F58" i="5"/>
  <c r="F58" i="6" s="1"/>
  <c r="G57" i="5"/>
  <c r="G57" i="6" s="1"/>
  <c r="I57" i="6" s="1"/>
  <c r="F57" i="5"/>
  <c r="F57" i="6" s="1"/>
  <c r="G56" i="5"/>
  <c r="G56" i="6" s="1"/>
  <c r="I56" i="6" s="1"/>
  <c r="F56" i="5"/>
  <c r="F56" i="6" s="1"/>
  <c r="G55" i="5"/>
  <c r="G55" i="6" s="1"/>
  <c r="I55" i="6" s="1"/>
  <c r="F55" i="5"/>
  <c r="F55" i="6" s="1"/>
  <c r="G54" i="5"/>
  <c r="G54" i="6" s="1"/>
  <c r="I54" i="6" s="1"/>
  <c r="F54" i="5"/>
  <c r="F54" i="6" s="1"/>
  <c r="G53" i="5"/>
  <c r="G53" i="6" s="1"/>
  <c r="I53" i="6" s="1"/>
  <c r="F53" i="5"/>
  <c r="F53" i="6" s="1"/>
  <c r="G52" i="5"/>
  <c r="G52" i="6" s="1"/>
  <c r="I52" i="6" s="1"/>
  <c r="F52" i="5"/>
  <c r="F52" i="6" s="1"/>
  <c r="G51" i="5"/>
  <c r="G51" i="6" s="1"/>
  <c r="I51" i="6" s="1"/>
  <c r="F51" i="5"/>
  <c r="F51" i="6" s="1"/>
  <c r="G50" i="5"/>
  <c r="G50" i="6" s="1"/>
  <c r="I50" i="6" s="1"/>
  <c r="F50" i="5"/>
  <c r="F50" i="6" s="1"/>
  <c r="G49" i="5"/>
  <c r="G49" i="6" s="1"/>
  <c r="I49" i="6" s="1"/>
  <c r="F49" i="5"/>
  <c r="F49" i="6" s="1"/>
  <c r="G48" i="5"/>
  <c r="G48" i="6" s="1"/>
  <c r="I48" i="6" s="1"/>
  <c r="F48" i="5"/>
  <c r="F48" i="6" s="1"/>
  <c r="G47" i="5"/>
  <c r="G47" i="6" s="1"/>
  <c r="I47" i="6" s="1"/>
  <c r="F47" i="5"/>
  <c r="F47" i="6" s="1"/>
  <c r="G46" i="5"/>
  <c r="G46" i="6" s="1"/>
  <c r="I46" i="6" s="1"/>
  <c r="F46" i="5"/>
  <c r="F46" i="6" s="1"/>
  <c r="G45" i="5"/>
  <c r="G45" i="6" s="1"/>
  <c r="I45" i="6" s="1"/>
  <c r="F45" i="5"/>
  <c r="F45" i="6" s="1"/>
  <c r="G44" i="5"/>
  <c r="G44" i="6" s="1"/>
  <c r="I44" i="6" s="1"/>
  <c r="F44" i="5"/>
  <c r="F44" i="6" s="1"/>
  <c r="G43" i="5"/>
  <c r="G43" i="6" s="1"/>
  <c r="I43" i="6" s="1"/>
  <c r="F43" i="5"/>
  <c r="F43" i="6" s="1"/>
  <c r="G42" i="5"/>
  <c r="G42" i="6" s="1"/>
  <c r="I42" i="6" s="1"/>
  <c r="F42" i="5"/>
  <c r="F42" i="6" s="1"/>
  <c r="G41" i="5"/>
  <c r="G41" i="6" s="1"/>
  <c r="I41" i="6" s="1"/>
  <c r="F41" i="5"/>
  <c r="F41" i="6" s="1"/>
  <c r="G40" i="5"/>
  <c r="G40" i="6" s="1"/>
  <c r="I40" i="6" s="1"/>
  <c r="F40" i="5"/>
  <c r="F40" i="6" s="1"/>
  <c r="G39" i="5"/>
  <c r="G39" i="6" s="1"/>
  <c r="I39" i="6" s="1"/>
  <c r="F39" i="5"/>
  <c r="F39" i="6" s="1"/>
  <c r="G38" i="5"/>
  <c r="G38" i="6" s="1"/>
  <c r="I38" i="6" s="1"/>
  <c r="F38" i="5"/>
  <c r="F38" i="6" s="1"/>
  <c r="G37" i="5"/>
  <c r="G37" i="6" s="1"/>
  <c r="I37" i="6" s="1"/>
  <c r="F37" i="5"/>
  <c r="F37" i="6" s="1"/>
  <c r="G36" i="5"/>
  <c r="G36" i="6" s="1"/>
  <c r="I36" i="6" s="1"/>
  <c r="F36" i="5"/>
  <c r="F36" i="6" s="1"/>
  <c r="G35" i="5"/>
  <c r="G35" i="6" s="1"/>
  <c r="I35" i="6" s="1"/>
  <c r="F35" i="5"/>
  <c r="F35" i="6" s="1"/>
  <c r="G34" i="5"/>
  <c r="G34" i="6" s="1"/>
  <c r="I34" i="6" s="1"/>
  <c r="F34" i="5"/>
  <c r="F34" i="6" s="1"/>
  <c r="G33" i="5"/>
  <c r="G33" i="6" s="1"/>
  <c r="I33" i="6" s="1"/>
  <c r="F33" i="5"/>
  <c r="F33" i="6" s="1"/>
  <c r="G32" i="5"/>
  <c r="G32" i="6" s="1"/>
  <c r="I32" i="6" s="1"/>
  <c r="F32" i="5"/>
  <c r="F32" i="6" s="1"/>
  <c r="G31" i="5"/>
  <c r="G31" i="6" s="1"/>
  <c r="I31" i="6" s="1"/>
  <c r="F31" i="5"/>
  <c r="F31" i="6" s="1"/>
  <c r="G30" i="5"/>
  <c r="G30" i="6" s="1"/>
  <c r="I30" i="6" s="1"/>
  <c r="F30" i="5"/>
  <c r="F30" i="6" s="1"/>
  <c r="G29" i="5"/>
  <c r="G29" i="6" s="1"/>
  <c r="I29" i="6" s="1"/>
  <c r="F29" i="5"/>
  <c r="F29" i="6" s="1"/>
  <c r="G28" i="5"/>
  <c r="G28" i="6" s="1"/>
  <c r="I28" i="6" s="1"/>
  <c r="F28" i="5"/>
  <c r="F28" i="6" s="1"/>
  <c r="G27" i="5"/>
  <c r="G27" i="6" s="1"/>
  <c r="I27" i="6" s="1"/>
  <c r="F27" i="5"/>
  <c r="F27" i="6" s="1"/>
  <c r="G26" i="5"/>
  <c r="G26" i="6" s="1"/>
  <c r="I26" i="6" s="1"/>
  <c r="F26" i="5"/>
  <c r="F26" i="6" s="1"/>
  <c r="G25" i="5"/>
  <c r="G25" i="6" s="1"/>
  <c r="I25" i="6" s="1"/>
  <c r="F25" i="5"/>
  <c r="F25" i="6" s="1"/>
  <c r="G24" i="5"/>
  <c r="G24" i="6" s="1"/>
  <c r="I24" i="6" s="1"/>
  <c r="F24" i="5"/>
  <c r="F24" i="6" s="1"/>
  <c r="G23" i="5"/>
  <c r="G23" i="6" s="1"/>
  <c r="I23" i="6" s="1"/>
  <c r="F23" i="5"/>
  <c r="F23" i="6" s="1"/>
  <c r="G22" i="5"/>
  <c r="G22" i="6" s="1"/>
  <c r="I22" i="6" s="1"/>
  <c r="F22" i="5"/>
  <c r="F22" i="6" s="1"/>
  <c r="G21" i="5"/>
  <c r="G21" i="6" s="1"/>
  <c r="I21" i="6" s="1"/>
  <c r="F21" i="5"/>
  <c r="F21" i="6" s="1"/>
  <c r="G20" i="5"/>
  <c r="G20" i="6" s="1"/>
  <c r="I20" i="6" s="1"/>
  <c r="F20" i="5"/>
  <c r="F20" i="6" s="1"/>
  <c r="G19" i="5"/>
  <c r="G19" i="6" s="1"/>
  <c r="I19" i="6" s="1"/>
  <c r="F19" i="5"/>
  <c r="F19" i="6" s="1"/>
  <c r="G18" i="5"/>
  <c r="G18" i="6" s="1"/>
  <c r="I18" i="6" s="1"/>
  <c r="F18" i="5"/>
  <c r="F18" i="6" s="1"/>
  <c r="G17" i="5"/>
  <c r="G17" i="6" s="1"/>
  <c r="I17" i="6" s="1"/>
  <c r="F17" i="5"/>
  <c r="F17" i="6" s="1"/>
  <c r="G16" i="5"/>
  <c r="G16" i="6" s="1"/>
  <c r="I16" i="6" s="1"/>
  <c r="F16" i="5"/>
  <c r="F16" i="6" s="1"/>
  <c r="G15" i="5"/>
  <c r="G15" i="6" s="1"/>
  <c r="I15" i="6" s="1"/>
  <c r="F15" i="5"/>
  <c r="F15" i="6" s="1"/>
  <c r="G14" i="5"/>
  <c r="G14" i="6" s="1"/>
  <c r="I14" i="6" s="1"/>
  <c r="F14" i="5"/>
  <c r="F14" i="6" s="1"/>
  <c r="G13" i="5"/>
  <c r="G13" i="6" s="1"/>
  <c r="I13" i="6" s="1"/>
  <c r="F13" i="5"/>
  <c r="F13" i="6" s="1"/>
  <c r="G12" i="5"/>
  <c r="G12" i="6" s="1"/>
  <c r="I12" i="6" s="1"/>
  <c r="F12" i="5"/>
  <c r="F12" i="6" s="1"/>
  <c r="G11" i="5"/>
  <c r="G11" i="6" s="1"/>
  <c r="I11" i="6" s="1"/>
  <c r="F11" i="5"/>
  <c r="F11" i="6" s="1"/>
  <c r="G10" i="5"/>
  <c r="G10" i="6" s="1"/>
  <c r="I10" i="6" s="1"/>
  <c r="F10" i="5"/>
  <c r="F10" i="6" s="1"/>
  <c r="G9" i="5"/>
  <c r="G9" i="6" s="1"/>
  <c r="I9" i="6" s="1"/>
  <c r="F9" i="5"/>
  <c r="F9" i="6" s="1"/>
  <c r="G8" i="5"/>
  <c r="G8" i="6" s="1"/>
  <c r="I8" i="6" s="1"/>
  <c r="F8" i="5"/>
  <c r="F8" i="6" s="1"/>
  <c r="G7" i="5"/>
  <c r="G7" i="6" s="1"/>
  <c r="I7" i="6" s="1"/>
  <c r="F7" i="5"/>
  <c r="F7" i="6" s="1"/>
  <c r="G6" i="5"/>
  <c r="G6" i="6" s="1"/>
  <c r="I6" i="6" s="1"/>
  <c r="F6" i="5"/>
  <c r="F6" i="6" s="1"/>
  <c r="G5" i="5"/>
  <c r="G5" i="6" s="1"/>
  <c r="I5" i="6" s="1"/>
  <c r="F5" i="5"/>
  <c r="F5" i="6" s="1"/>
  <c r="G4" i="5"/>
  <c r="G4" i="6" s="1"/>
  <c r="I4" i="6" s="1"/>
  <c r="F4" i="5"/>
  <c r="F4" i="6" s="1"/>
  <c r="G3" i="5"/>
  <c r="G3" i="6" s="1"/>
  <c r="I3" i="6" s="1"/>
  <c r="F3" i="5"/>
  <c r="F3" i="6" s="1"/>
  <c r="G2" i="5"/>
  <c r="G2" i="6" s="1"/>
  <c r="I2" i="6" s="1"/>
  <c r="F2" i="5"/>
  <c r="F2" i="6" s="1"/>
  <c r="L278" i="4"/>
  <c r="K278" i="4"/>
  <c r="A278" i="4"/>
  <c r="L277" i="4"/>
  <c r="K277" i="4"/>
  <c r="A277" i="4"/>
  <c r="L276" i="4"/>
  <c r="K276" i="4"/>
  <c r="A276" i="4"/>
  <c r="L275" i="4"/>
  <c r="K275" i="4"/>
  <c r="A275" i="4"/>
  <c r="L274" i="4"/>
  <c r="K274" i="4"/>
  <c r="A274" i="4"/>
  <c r="L273" i="4"/>
  <c r="K273" i="4"/>
  <c r="A273" i="4"/>
  <c r="L272" i="4"/>
  <c r="K272" i="4"/>
  <c r="A272" i="4"/>
  <c r="L271" i="4"/>
  <c r="K271" i="4"/>
  <c r="A271" i="4"/>
  <c r="L270" i="4"/>
  <c r="K270" i="4"/>
  <c r="A270" i="4"/>
  <c r="L269" i="4"/>
  <c r="K269" i="4"/>
  <c r="A269" i="4"/>
  <c r="L268" i="4"/>
  <c r="K268" i="4"/>
  <c r="A268" i="4"/>
  <c r="L267" i="4"/>
  <c r="K267" i="4"/>
  <c r="A267" i="4"/>
  <c r="L266" i="4"/>
  <c r="K266" i="4"/>
  <c r="A266" i="4"/>
  <c r="L265" i="4"/>
  <c r="K265" i="4"/>
  <c r="A265" i="4"/>
  <c r="L264" i="4"/>
  <c r="K264" i="4"/>
  <c r="A264" i="4"/>
  <c r="L263" i="4"/>
  <c r="K263" i="4"/>
  <c r="A263" i="4"/>
  <c r="L262" i="4"/>
  <c r="K262" i="4"/>
  <c r="A262" i="4"/>
  <c r="L261" i="4"/>
  <c r="K261" i="4"/>
  <c r="A261" i="4"/>
  <c r="L260" i="4"/>
  <c r="K260" i="4"/>
  <c r="A260" i="4"/>
  <c r="L259" i="4"/>
  <c r="K259" i="4"/>
  <c r="A259" i="4"/>
  <c r="L258" i="4"/>
  <c r="K258" i="4"/>
  <c r="A258" i="4"/>
  <c r="L257" i="4"/>
  <c r="K257" i="4"/>
  <c r="A257" i="4"/>
  <c r="L256" i="4"/>
  <c r="K256" i="4"/>
  <c r="A256" i="4"/>
  <c r="L255" i="4"/>
  <c r="K255" i="4"/>
  <c r="A255" i="4"/>
  <c r="L254" i="4"/>
  <c r="K254" i="4"/>
  <c r="A254" i="4"/>
  <c r="L253" i="4"/>
  <c r="K253" i="4"/>
  <c r="A253" i="4"/>
  <c r="L252" i="4"/>
  <c r="K252" i="4"/>
  <c r="A252" i="4"/>
  <c r="L251" i="4"/>
  <c r="K251" i="4"/>
  <c r="A251" i="4"/>
  <c r="L250" i="4"/>
  <c r="K250" i="4"/>
  <c r="A250" i="4"/>
  <c r="L249" i="4"/>
  <c r="K249" i="4"/>
  <c r="A249" i="4"/>
  <c r="L248" i="4"/>
  <c r="K248" i="4"/>
  <c r="A248" i="4"/>
  <c r="L247" i="4"/>
  <c r="K247" i="4"/>
  <c r="A247" i="4"/>
  <c r="L246" i="4"/>
  <c r="K246" i="4"/>
  <c r="A246" i="4"/>
  <c r="L245" i="4"/>
  <c r="K245" i="4"/>
  <c r="A245" i="4"/>
  <c r="L244" i="4"/>
  <c r="K244" i="4"/>
  <c r="A244" i="4"/>
  <c r="L243" i="4"/>
  <c r="K243" i="4"/>
  <c r="A243" i="4"/>
  <c r="L242" i="4"/>
  <c r="K242" i="4"/>
  <c r="A242" i="4"/>
  <c r="L241" i="4"/>
  <c r="K241" i="4"/>
  <c r="A241" i="4"/>
  <c r="L240" i="4"/>
  <c r="K240" i="4"/>
  <c r="A240" i="4"/>
  <c r="L239" i="4"/>
  <c r="K239" i="4"/>
  <c r="A239" i="4"/>
  <c r="L238" i="4"/>
  <c r="K238" i="4"/>
  <c r="A238" i="4"/>
  <c r="L237" i="4"/>
  <c r="K237" i="4"/>
  <c r="A237" i="4"/>
  <c r="L236" i="4"/>
  <c r="K236" i="4"/>
  <c r="A236" i="4"/>
  <c r="L235" i="4"/>
  <c r="K235" i="4"/>
  <c r="A235" i="4"/>
  <c r="L234" i="4"/>
  <c r="K234" i="4"/>
  <c r="A234" i="4"/>
  <c r="L233" i="4"/>
  <c r="K233" i="4"/>
  <c r="A233" i="4"/>
  <c r="L232" i="4"/>
  <c r="K232" i="4"/>
  <c r="A232" i="4"/>
  <c r="L231" i="4"/>
  <c r="K231" i="4"/>
  <c r="A231" i="4"/>
  <c r="L230" i="4"/>
  <c r="K230" i="4"/>
  <c r="A230" i="4"/>
  <c r="L229" i="4"/>
  <c r="K229" i="4"/>
  <c r="A229" i="4"/>
  <c r="L228" i="4"/>
  <c r="K228" i="4"/>
  <c r="A228" i="4"/>
  <c r="L227" i="4"/>
  <c r="K227" i="4"/>
  <c r="A227" i="4"/>
  <c r="L226" i="4"/>
  <c r="K226" i="4"/>
  <c r="A226" i="4"/>
  <c r="L225" i="4"/>
  <c r="K225" i="4"/>
  <c r="A225" i="4"/>
  <c r="L224" i="4"/>
  <c r="K224" i="4"/>
  <c r="A224" i="4"/>
  <c r="L223" i="4"/>
  <c r="K223" i="4"/>
  <c r="A223" i="4"/>
  <c r="L222" i="4"/>
  <c r="K222" i="4"/>
  <c r="A222" i="4"/>
  <c r="L221" i="4"/>
  <c r="K221" i="4"/>
  <c r="A221" i="4"/>
  <c r="L220" i="4"/>
  <c r="K220" i="4"/>
  <c r="A220" i="4"/>
  <c r="L219" i="4"/>
  <c r="K219" i="4"/>
  <c r="A219" i="4"/>
  <c r="L218" i="4"/>
  <c r="K218" i="4"/>
  <c r="A218" i="4"/>
  <c r="L217" i="4"/>
  <c r="K217" i="4"/>
  <c r="A217" i="4"/>
  <c r="L216" i="4"/>
  <c r="K216" i="4"/>
  <c r="A216" i="4"/>
  <c r="L215" i="4"/>
  <c r="K215" i="4"/>
  <c r="A215" i="4"/>
  <c r="L214" i="4"/>
  <c r="K214" i="4"/>
  <c r="A214" i="4"/>
  <c r="L213" i="4"/>
  <c r="K213" i="4"/>
  <c r="A213" i="4"/>
  <c r="L212" i="4"/>
  <c r="K212" i="4"/>
  <c r="A212" i="4"/>
  <c r="L211" i="4"/>
  <c r="K211" i="4"/>
  <c r="A211" i="4"/>
  <c r="L210" i="4"/>
  <c r="K210" i="4"/>
  <c r="A210" i="4"/>
  <c r="L209" i="4"/>
  <c r="K209" i="4"/>
  <c r="A209" i="4"/>
  <c r="L208" i="4"/>
  <c r="K208" i="4"/>
  <c r="A208" i="4"/>
  <c r="L207" i="4"/>
  <c r="K207" i="4"/>
  <c r="A207" i="4"/>
  <c r="L206" i="4"/>
  <c r="K206" i="4"/>
  <c r="A206" i="4"/>
  <c r="L205" i="4"/>
  <c r="K205" i="4"/>
  <c r="A205" i="4"/>
  <c r="L204" i="4"/>
  <c r="K204" i="4"/>
  <c r="A204" i="4"/>
  <c r="L203" i="4"/>
  <c r="K203" i="4"/>
  <c r="A203" i="4"/>
  <c r="L202" i="4"/>
  <c r="K202" i="4"/>
  <c r="A202" i="4"/>
  <c r="L201" i="4"/>
  <c r="K201" i="4"/>
  <c r="A201" i="4"/>
  <c r="L200" i="4"/>
  <c r="K200" i="4"/>
  <c r="A200" i="4"/>
  <c r="L199" i="4"/>
  <c r="A199" i="4"/>
  <c r="L198" i="4"/>
  <c r="L197" i="4"/>
  <c r="K197" i="4"/>
  <c r="A197" i="4"/>
  <c r="L196" i="4"/>
  <c r="K196" i="4"/>
  <c r="A196" i="4"/>
  <c r="L195" i="4"/>
  <c r="K195" i="4"/>
  <c r="A195" i="4"/>
  <c r="L194" i="4"/>
  <c r="K194" i="4"/>
  <c r="A194" i="4"/>
  <c r="L193" i="4"/>
  <c r="K193" i="4"/>
  <c r="A193" i="4"/>
  <c r="L192" i="4"/>
  <c r="K192" i="4"/>
  <c r="A192" i="4"/>
  <c r="L191" i="4"/>
  <c r="K191" i="4"/>
  <c r="A191" i="4"/>
  <c r="L190" i="4"/>
  <c r="K190" i="4"/>
  <c r="A190" i="4"/>
  <c r="L189" i="4"/>
  <c r="K189" i="4"/>
  <c r="A189" i="4"/>
  <c r="L188" i="4"/>
  <c r="K188" i="4"/>
  <c r="A188" i="4"/>
  <c r="L187" i="4"/>
  <c r="K187" i="4"/>
  <c r="A187" i="4"/>
  <c r="L186" i="4"/>
  <c r="K186" i="4"/>
  <c r="A186" i="4"/>
  <c r="L185" i="4"/>
  <c r="K185" i="4"/>
  <c r="A185" i="4"/>
  <c r="L184" i="4"/>
  <c r="K184" i="4"/>
  <c r="A184" i="4"/>
  <c r="L183" i="4"/>
  <c r="K183" i="4"/>
  <c r="A183" i="4"/>
  <c r="L182" i="4"/>
  <c r="K182" i="4"/>
  <c r="A182" i="4"/>
  <c r="L181" i="4"/>
  <c r="K181" i="4"/>
  <c r="A181" i="4"/>
  <c r="L180" i="4"/>
  <c r="K180" i="4"/>
  <c r="A180" i="4"/>
  <c r="L179" i="4"/>
  <c r="K179" i="4"/>
  <c r="A179" i="4"/>
  <c r="L178" i="4"/>
  <c r="K178" i="4"/>
  <c r="A178" i="4"/>
  <c r="L177" i="4"/>
  <c r="K177" i="4"/>
  <c r="A177" i="4"/>
  <c r="L176" i="4"/>
  <c r="K176" i="4"/>
  <c r="A176" i="4"/>
  <c r="L175" i="4"/>
  <c r="K175" i="4"/>
  <c r="A175" i="4"/>
  <c r="L174" i="4"/>
  <c r="K174" i="4"/>
  <c r="A174" i="4"/>
  <c r="L173" i="4"/>
  <c r="K173" i="4"/>
  <c r="A173" i="4"/>
  <c r="L172" i="4"/>
  <c r="K172" i="4"/>
  <c r="A172" i="4"/>
  <c r="L171" i="4"/>
  <c r="K171" i="4"/>
  <c r="A171" i="4"/>
  <c r="L170" i="4"/>
  <c r="K170" i="4"/>
  <c r="A170" i="4"/>
  <c r="L169" i="4"/>
  <c r="K169" i="4"/>
  <c r="A169" i="4"/>
  <c r="L168" i="4"/>
  <c r="K168" i="4"/>
  <c r="A168" i="4"/>
  <c r="L167" i="4"/>
  <c r="K167" i="4"/>
  <c r="A167" i="4"/>
  <c r="L166" i="4"/>
  <c r="K166" i="4"/>
  <c r="A166" i="4"/>
  <c r="L165" i="4"/>
  <c r="K165" i="4"/>
  <c r="A165" i="4"/>
  <c r="L164" i="4"/>
  <c r="K164" i="4"/>
  <c r="A164" i="4"/>
  <c r="L163" i="4"/>
  <c r="K163" i="4"/>
  <c r="A163" i="4"/>
  <c r="L162" i="4"/>
  <c r="K162" i="4"/>
  <c r="A162" i="4"/>
  <c r="L161" i="4"/>
  <c r="K161" i="4"/>
  <c r="A161" i="4"/>
  <c r="L160" i="4"/>
  <c r="K160" i="4"/>
  <c r="A160" i="4"/>
  <c r="L159" i="4"/>
  <c r="K159" i="4"/>
  <c r="A159" i="4"/>
  <c r="L158" i="4"/>
  <c r="K158" i="4"/>
  <c r="A158" i="4"/>
  <c r="L157" i="4"/>
  <c r="K157" i="4"/>
  <c r="A157" i="4"/>
  <c r="L156" i="4"/>
  <c r="K156" i="4"/>
  <c r="A156" i="4"/>
  <c r="L155" i="4"/>
  <c r="K155" i="4"/>
  <c r="A155" i="4"/>
  <c r="L154" i="4"/>
  <c r="K154" i="4"/>
  <c r="A154" i="4"/>
  <c r="L153" i="4"/>
  <c r="K153" i="4"/>
  <c r="A153" i="4"/>
  <c r="L152" i="4"/>
  <c r="K152" i="4"/>
  <c r="A152" i="4"/>
  <c r="L151" i="4"/>
  <c r="K151" i="4"/>
  <c r="A151" i="4"/>
  <c r="L150" i="4"/>
  <c r="K150" i="4"/>
  <c r="A150" i="4"/>
  <c r="L149" i="4"/>
  <c r="K149" i="4"/>
  <c r="A149" i="4"/>
  <c r="L148" i="4"/>
  <c r="K148" i="4"/>
  <c r="A148" i="4"/>
  <c r="L147" i="4"/>
  <c r="K147" i="4"/>
  <c r="A147" i="4"/>
  <c r="L146" i="4"/>
  <c r="K146" i="4"/>
  <c r="A146" i="4"/>
  <c r="L145" i="4"/>
  <c r="K145" i="4"/>
  <c r="A145" i="4"/>
  <c r="L144" i="4"/>
  <c r="K144" i="4"/>
  <c r="A144" i="4"/>
  <c r="L143" i="4"/>
  <c r="K143" i="4"/>
  <c r="A143" i="4"/>
  <c r="L142" i="4"/>
  <c r="K142" i="4"/>
  <c r="A142" i="4"/>
  <c r="L141" i="4"/>
  <c r="K141" i="4"/>
  <c r="A141" i="4"/>
  <c r="L140" i="4"/>
  <c r="K140" i="4"/>
  <c r="A140" i="4"/>
  <c r="L139" i="4"/>
  <c r="K139" i="4"/>
  <c r="A139" i="4"/>
  <c r="L138" i="4"/>
  <c r="K138" i="4"/>
  <c r="A138" i="4"/>
  <c r="L137" i="4"/>
  <c r="K137" i="4"/>
  <c r="A137" i="4"/>
  <c r="L136" i="4"/>
  <c r="K136" i="4"/>
  <c r="A136" i="4"/>
  <c r="L135" i="4"/>
  <c r="K135" i="4"/>
  <c r="A135" i="4"/>
  <c r="L134" i="4"/>
  <c r="K134" i="4"/>
  <c r="A134" i="4"/>
  <c r="L133" i="4"/>
  <c r="K133" i="4"/>
  <c r="A133" i="4"/>
  <c r="L132" i="4"/>
  <c r="K132" i="4"/>
  <c r="A132" i="4"/>
  <c r="L131" i="4"/>
  <c r="K131" i="4"/>
  <c r="A131" i="4"/>
  <c r="L130" i="4"/>
  <c r="K130" i="4"/>
  <c r="A130" i="4"/>
  <c r="L129" i="4"/>
  <c r="K129" i="4"/>
  <c r="A129" i="4"/>
  <c r="L128" i="4"/>
  <c r="K128" i="4"/>
  <c r="A128" i="4"/>
  <c r="L127" i="4"/>
  <c r="K127" i="4"/>
  <c r="A127" i="4"/>
  <c r="L126" i="4"/>
  <c r="K126" i="4"/>
  <c r="A126" i="4"/>
  <c r="L125" i="4"/>
  <c r="K125" i="4"/>
  <c r="A125" i="4"/>
  <c r="L124" i="4"/>
  <c r="K124" i="4"/>
  <c r="A124" i="4"/>
  <c r="L123" i="4"/>
  <c r="K123" i="4"/>
  <c r="A123" i="4"/>
  <c r="L122" i="4"/>
  <c r="K122" i="4"/>
  <c r="A122" i="4"/>
  <c r="L121" i="4"/>
  <c r="K121" i="4"/>
  <c r="A121" i="4"/>
  <c r="L120" i="4"/>
  <c r="K120" i="4"/>
  <c r="A120" i="4"/>
  <c r="L119" i="4"/>
  <c r="K119" i="4"/>
  <c r="A119" i="4"/>
  <c r="L118" i="4"/>
  <c r="K118" i="4"/>
  <c r="A118" i="4"/>
  <c r="L117" i="4"/>
  <c r="K117" i="4"/>
  <c r="A117" i="4"/>
  <c r="L116" i="4"/>
  <c r="K116" i="4"/>
  <c r="A116" i="4"/>
  <c r="L115" i="4"/>
  <c r="K115" i="4"/>
  <c r="A115" i="4"/>
  <c r="L114" i="4"/>
  <c r="K114" i="4"/>
  <c r="A114" i="4"/>
  <c r="L113" i="4"/>
  <c r="K113" i="4"/>
  <c r="A113" i="4"/>
  <c r="L112" i="4"/>
  <c r="K112" i="4"/>
  <c r="A112" i="4"/>
  <c r="L111" i="4"/>
  <c r="K111" i="4"/>
  <c r="A111" i="4"/>
  <c r="L110" i="4"/>
  <c r="K110" i="4"/>
  <c r="A110" i="4"/>
  <c r="L109" i="4"/>
  <c r="K109" i="4"/>
  <c r="A109" i="4"/>
  <c r="L108" i="4"/>
  <c r="K108" i="4"/>
  <c r="A108" i="4"/>
  <c r="L107" i="4"/>
  <c r="K107" i="4"/>
  <c r="A107" i="4"/>
  <c r="L106" i="4"/>
  <c r="K106" i="4"/>
  <c r="A106" i="4"/>
  <c r="L105" i="4"/>
  <c r="K105" i="4"/>
  <c r="A105" i="4"/>
  <c r="L104" i="4"/>
  <c r="K104" i="4"/>
  <c r="A104" i="4"/>
  <c r="L103" i="4"/>
  <c r="K103" i="4"/>
  <c r="A103" i="4"/>
  <c r="L102" i="4"/>
  <c r="K102" i="4"/>
  <c r="A102" i="4"/>
  <c r="L101" i="4"/>
  <c r="K101" i="4"/>
  <c r="A101" i="4"/>
  <c r="L100" i="4"/>
  <c r="K100" i="4"/>
  <c r="A100" i="4"/>
  <c r="L99" i="4"/>
  <c r="K99" i="4"/>
  <c r="A99" i="4"/>
  <c r="L98" i="4"/>
  <c r="K98" i="4"/>
  <c r="A98" i="4"/>
  <c r="L97" i="4"/>
  <c r="K97" i="4"/>
  <c r="A97" i="4"/>
  <c r="L96" i="4"/>
  <c r="K96" i="4"/>
  <c r="A96" i="4"/>
  <c r="L95" i="4"/>
  <c r="K95" i="4"/>
  <c r="A95" i="4"/>
  <c r="L94" i="4"/>
  <c r="K94" i="4"/>
  <c r="A94" i="4"/>
  <c r="L93" i="4"/>
  <c r="K93" i="4"/>
  <c r="A93" i="4"/>
  <c r="L92" i="4"/>
  <c r="K92" i="4"/>
  <c r="A92" i="4"/>
  <c r="L91" i="4"/>
  <c r="K91" i="4"/>
  <c r="A91" i="4"/>
  <c r="L90" i="4"/>
  <c r="K90" i="4"/>
  <c r="A90" i="4"/>
  <c r="L89" i="4"/>
  <c r="K89" i="4"/>
  <c r="A89" i="4"/>
  <c r="L88" i="4"/>
  <c r="K88" i="4"/>
  <c r="A88" i="4"/>
  <c r="L87" i="4"/>
  <c r="K87" i="4"/>
  <c r="A87" i="4"/>
  <c r="L86" i="4"/>
  <c r="K86" i="4"/>
  <c r="A86" i="4"/>
  <c r="L85" i="4"/>
  <c r="K85" i="4"/>
  <c r="A85" i="4"/>
  <c r="L84" i="4"/>
  <c r="K84" i="4"/>
  <c r="A84" i="4"/>
  <c r="L83" i="4"/>
  <c r="K83" i="4"/>
  <c r="A83" i="4"/>
  <c r="L82" i="4"/>
  <c r="K82" i="4"/>
  <c r="A82" i="4"/>
  <c r="L81" i="4"/>
  <c r="K81" i="4"/>
  <c r="A81" i="4"/>
  <c r="L80" i="4"/>
  <c r="K80" i="4"/>
  <c r="A80" i="4"/>
  <c r="L79" i="4"/>
  <c r="K79" i="4"/>
  <c r="A79" i="4"/>
  <c r="L78" i="4"/>
  <c r="K78" i="4"/>
  <c r="A78" i="4"/>
  <c r="L77" i="4"/>
  <c r="K77" i="4"/>
  <c r="A77" i="4"/>
  <c r="L76" i="4"/>
  <c r="K76" i="4"/>
  <c r="A76" i="4"/>
  <c r="L75" i="4"/>
  <c r="K75" i="4"/>
  <c r="A75" i="4"/>
  <c r="L74" i="4"/>
  <c r="K74" i="4"/>
  <c r="A74" i="4"/>
  <c r="L73" i="4"/>
  <c r="K73" i="4"/>
  <c r="A73" i="4"/>
  <c r="L72" i="4"/>
  <c r="K72" i="4"/>
  <c r="A72" i="4"/>
  <c r="L71" i="4"/>
  <c r="K71" i="4"/>
  <c r="A71" i="4"/>
  <c r="L70" i="4"/>
  <c r="K70" i="4"/>
  <c r="A70" i="4"/>
  <c r="L69" i="4"/>
  <c r="K69" i="4"/>
  <c r="A69" i="4"/>
  <c r="L68" i="4"/>
  <c r="K68" i="4"/>
  <c r="A68" i="4"/>
  <c r="L67" i="4"/>
  <c r="K67" i="4"/>
  <c r="A67" i="4"/>
  <c r="L66" i="4"/>
  <c r="K66" i="4"/>
  <c r="A66" i="4"/>
  <c r="L65" i="4"/>
  <c r="K65" i="4"/>
  <c r="A65" i="4"/>
  <c r="L64" i="4"/>
  <c r="K64" i="4"/>
  <c r="A64" i="4"/>
  <c r="L63" i="4"/>
  <c r="K63" i="4"/>
  <c r="A63" i="4"/>
  <c r="L62" i="4"/>
  <c r="K62" i="4"/>
  <c r="A62" i="4"/>
  <c r="L61" i="4"/>
  <c r="K61" i="4"/>
  <c r="A61" i="4"/>
  <c r="L60" i="4"/>
  <c r="K60" i="4"/>
  <c r="A60" i="4"/>
  <c r="L59" i="4"/>
  <c r="K59" i="4"/>
  <c r="A59" i="4"/>
  <c r="L58" i="4"/>
  <c r="K58" i="4"/>
  <c r="A58" i="4"/>
  <c r="L57" i="4"/>
  <c r="K57" i="4"/>
  <c r="A57" i="4"/>
  <c r="L56" i="4"/>
  <c r="K56" i="4"/>
  <c r="A56" i="4"/>
  <c r="L55" i="4"/>
  <c r="K55" i="4"/>
  <c r="A55" i="4"/>
  <c r="L54" i="4"/>
  <c r="K54" i="4"/>
  <c r="A54" i="4"/>
  <c r="L53" i="4"/>
  <c r="K53" i="4"/>
  <c r="A53" i="4"/>
  <c r="L52" i="4"/>
  <c r="K52" i="4"/>
  <c r="A52" i="4"/>
  <c r="L51" i="4"/>
  <c r="K51" i="4"/>
  <c r="A51" i="4"/>
  <c r="L50" i="4"/>
  <c r="K50" i="4"/>
  <c r="A50" i="4"/>
  <c r="L49" i="4"/>
  <c r="K49" i="4"/>
  <c r="A49" i="4"/>
  <c r="L48" i="4"/>
  <c r="K48" i="4"/>
  <c r="A48" i="4"/>
  <c r="L47" i="4"/>
  <c r="K47" i="4"/>
  <c r="A47" i="4"/>
  <c r="L46" i="4"/>
  <c r="K46" i="4"/>
  <c r="A46" i="4"/>
  <c r="L45" i="4"/>
  <c r="K45" i="4"/>
  <c r="A45" i="4"/>
  <c r="L44" i="4"/>
  <c r="K44" i="4"/>
  <c r="A44" i="4"/>
  <c r="L43" i="4"/>
  <c r="K43" i="4"/>
  <c r="A43" i="4"/>
  <c r="L42" i="4"/>
  <c r="K42" i="4"/>
  <c r="A42" i="4"/>
  <c r="L41" i="4"/>
  <c r="K41" i="4"/>
  <c r="A41" i="4"/>
  <c r="L40" i="4"/>
  <c r="K40" i="4"/>
  <c r="A40" i="4"/>
  <c r="L39" i="4"/>
  <c r="K39" i="4"/>
  <c r="A39" i="4"/>
  <c r="L38" i="4"/>
  <c r="K38" i="4"/>
  <c r="A38" i="4"/>
  <c r="L37" i="4"/>
  <c r="K37" i="4"/>
  <c r="A37" i="4"/>
  <c r="L36" i="4"/>
  <c r="K36" i="4"/>
  <c r="A36" i="4"/>
  <c r="L35" i="4"/>
  <c r="K35" i="4"/>
  <c r="A35" i="4"/>
  <c r="L34" i="4"/>
  <c r="K34" i="4"/>
  <c r="A34" i="4"/>
  <c r="L33" i="4"/>
  <c r="K33" i="4"/>
  <c r="A33" i="4"/>
  <c r="L32" i="4"/>
  <c r="K32" i="4"/>
  <c r="A32" i="4"/>
  <c r="L31" i="4"/>
  <c r="K31" i="4"/>
  <c r="A31" i="4"/>
  <c r="L30" i="4"/>
  <c r="K30" i="4"/>
  <c r="A30" i="4"/>
  <c r="L29" i="4"/>
  <c r="K29" i="4"/>
  <c r="A29" i="4"/>
  <c r="L28" i="4"/>
  <c r="K28" i="4"/>
  <c r="A28" i="4"/>
  <c r="L27" i="4"/>
  <c r="K27" i="4"/>
  <c r="A27" i="4"/>
  <c r="L26" i="4"/>
  <c r="K26" i="4"/>
  <c r="A26" i="4"/>
  <c r="L25" i="4"/>
  <c r="K25" i="4"/>
  <c r="A25" i="4"/>
  <c r="L24" i="4"/>
  <c r="K24" i="4"/>
  <c r="A24" i="4"/>
  <c r="L23" i="4"/>
  <c r="K23" i="4"/>
  <c r="A23" i="4"/>
  <c r="L22" i="4"/>
  <c r="K22" i="4"/>
  <c r="A22" i="4"/>
  <c r="L21" i="4"/>
  <c r="K21" i="4"/>
  <c r="A21" i="4"/>
  <c r="L20" i="4"/>
  <c r="K20" i="4"/>
  <c r="A20" i="4"/>
  <c r="L19" i="4"/>
  <c r="K19" i="4"/>
  <c r="A19" i="4"/>
  <c r="L18" i="4"/>
  <c r="K18" i="4"/>
  <c r="A18" i="4"/>
  <c r="L17" i="4"/>
  <c r="K17" i="4"/>
  <c r="A17" i="4"/>
  <c r="L16" i="4"/>
  <c r="K16" i="4"/>
  <c r="A16" i="4"/>
  <c r="L15" i="4"/>
  <c r="K15" i="4"/>
  <c r="A15" i="4"/>
  <c r="L14" i="4"/>
  <c r="K14" i="4"/>
  <c r="A14" i="4"/>
  <c r="L13" i="4"/>
  <c r="K13" i="4"/>
  <c r="A13" i="4"/>
  <c r="L12" i="4"/>
  <c r="K12" i="4"/>
  <c r="A12" i="4"/>
  <c r="L11" i="4"/>
  <c r="K11" i="4"/>
  <c r="A11" i="4"/>
  <c r="L10" i="4"/>
  <c r="K10" i="4"/>
  <c r="A10" i="4"/>
  <c r="L9" i="4"/>
  <c r="K9" i="4"/>
  <c r="A9" i="4"/>
  <c r="L8" i="4"/>
  <c r="K8" i="4"/>
  <c r="A8" i="4"/>
  <c r="L7" i="4"/>
  <c r="K7" i="4"/>
  <c r="A7" i="4"/>
  <c r="L6" i="4"/>
  <c r="K6" i="4"/>
  <c r="A6" i="4"/>
  <c r="L5" i="4"/>
  <c r="K5" i="4"/>
  <c r="A5" i="4"/>
  <c r="L4" i="4"/>
  <c r="K4" i="4"/>
  <c r="A4" i="4"/>
  <c r="L3" i="4"/>
  <c r="K3" i="4"/>
  <c r="A3" i="4"/>
  <c r="L2" i="4"/>
  <c r="A2" i="4"/>
  <c r="I49" i="5" l="1"/>
  <c r="I234" i="5"/>
  <c r="H218" i="5"/>
  <c r="H158" i="5"/>
  <c r="I114" i="5"/>
  <c r="I173" i="5"/>
  <c r="I202" i="5"/>
  <c r="I192" i="5"/>
  <c r="I97" i="5"/>
  <c r="I120" i="5"/>
  <c r="I147" i="5"/>
  <c r="I142" i="5"/>
  <c r="H11" i="5"/>
  <c r="H70" i="5"/>
  <c r="H146" i="5"/>
  <c r="I102" i="5"/>
  <c r="A137" i="5"/>
  <c r="A42" i="5"/>
  <c r="I18" i="5"/>
  <c r="A126" i="5"/>
  <c r="I153" i="5"/>
  <c r="I226" i="5"/>
  <c r="I42" i="5"/>
  <c r="A149" i="5"/>
  <c r="I165" i="5"/>
  <c r="I216" i="5"/>
  <c r="I54" i="5"/>
  <c r="I65" i="5"/>
  <c r="I228" i="5"/>
  <c r="A162" i="5"/>
  <c r="I178" i="5"/>
  <c r="I201" i="5"/>
  <c r="A62" i="5"/>
  <c r="I66" i="5"/>
  <c r="A142" i="5"/>
  <c r="H164" i="5"/>
  <c r="A14" i="5"/>
  <c r="H210" i="5"/>
  <c r="H22" i="5"/>
  <c r="H66" i="5"/>
  <c r="H83" i="5"/>
  <c r="H35" i="5"/>
  <c r="A218" i="5"/>
  <c r="A65" i="5"/>
  <c r="I48" i="5"/>
  <c r="I53" i="5"/>
  <c r="I96" i="5"/>
  <c r="I101" i="5"/>
  <c r="I130" i="5"/>
  <c r="I135" i="5"/>
  <c r="I166" i="5"/>
  <c r="I184" i="5"/>
  <c r="I193" i="5"/>
  <c r="I217" i="5"/>
  <c r="I5" i="5"/>
  <c r="I24" i="5"/>
  <c r="I29" i="5"/>
  <c r="A92" i="5"/>
  <c r="A146" i="5"/>
  <c r="I149" i="5"/>
  <c r="I158" i="5"/>
  <c r="I162" i="5"/>
  <c r="A167" i="5"/>
  <c r="I171" i="5"/>
  <c r="A185" i="5"/>
  <c r="I189" i="5"/>
  <c r="I213" i="5"/>
  <c r="I222" i="5"/>
  <c r="A68" i="5"/>
  <c r="I72" i="5"/>
  <c r="I77" i="5"/>
  <c r="A117" i="5"/>
  <c r="I126" i="5"/>
  <c r="I141" i="5"/>
  <c r="A150" i="5"/>
  <c r="I154" i="5"/>
  <c r="I180" i="5"/>
  <c r="A233" i="5"/>
  <c r="I237" i="5"/>
  <c r="I60" i="5"/>
  <c r="I108" i="5"/>
  <c r="I117" i="5"/>
  <c r="I122" i="5"/>
  <c r="I150" i="5"/>
  <c r="I159" i="5"/>
  <c r="I172" i="5"/>
  <c r="I185" i="5"/>
  <c r="I190" i="5"/>
  <c r="I204" i="5"/>
  <c r="I214" i="5"/>
  <c r="I6" i="5"/>
  <c r="A12" i="5"/>
  <c r="I25" i="5"/>
  <c r="I30" i="5"/>
  <c r="I73" i="5"/>
  <c r="I78" i="5"/>
  <c r="I113" i="5"/>
  <c r="A118" i="5"/>
  <c r="A138" i="5"/>
  <c r="I146" i="5"/>
  <c r="A173" i="5"/>
  <c r="I177" i="5"/>
  <c r="I181" i="5"/>
  <c r="A201" i="5"/>
  <c r="I238" i="5"/>
  <c r="I12" i="5"/>
  <c r="I36" i="5"/>
  <c r="I41" i="5"/>
  <c r="I61" i="5"/>
  <c r="A66" i="5"/>
  <c r="I84" i="5"/>
  <c r="I89" i="5"/>
  <c r="I109" i="5"/>
  <c r="I123" i="5"/>
  <c r="I138" i="5"/>
  <c r="A143" i="6"/>
  <c r="A161" i="5"/>
  <c r="I196" i="5"/>
  <c r="I205" i="5"/>
  <c r="I229" i="5"/>
  <c r="I17" i="5"/>
  <c r="I225" i="5"/>
  <c r="I129" i="5"/>
  <c r="I134" i="5"/>
  <c r="A158" i="5"/>
  <c r="A179" i="5"/>
  <c r="A33" i="5"/>
  <c r="I13" i="5"/>
  <c r="I37" i="5"/>
  <c r="I85" i="5"/>
  <c r="I90" i="5"/>
  <c r="I110" i="5"/>
  <c r="I161" i="5"/>
  <c r="I170" i="5"/>
  <c r="A179" i="6"/>
  <c r="I197" i="5"/>
  <c r="H77" i="5"/>
  <c r="A8" i="5"/>
  <c r="A30" i="5"/>
  <c r="A38" i="5"/>
  <c r="A56" i="5"/>
  <c r="A91" i="5"/>
  <c r="A101" i="5"/>
  <c r="A110" i="5"/>
  <c r="H127" i="5"/>
  <c r="A198" i="5"/>
  <c r="H47" i="5"/>
  <c r="A154" i="5"/>
  <c r="H177" i="5"/>
  <c r="H194" i="5"/>
  <c r="H233" i="5"/>
  <c r="H65" i="5"/>
  <c r="A5" i="5"/>
  <c r="H17" i="5"/>
  <c r="A26" i="5"/>
  <c r="A53" i="5"/>
  <c r="H82" i="5"/>
  <c r="A124" i="5"/>
  <c r="A186" i="5"/>
  <c r="H78" i="5"/>
  <c r="H198" i="5"/>
  <c r="H230" i="5"/>
  <c r="A7" i="5"/>
  <c r="H30" i="5"/>
  <c r="A18" i="5"/>
  <c r="A44" i="5"/>
  <c r="A143" i="5"/>
  <c r="H170" i="5"/>
  <c r="H195" i="5"/>
  <c r="A231" i="5"/>
  <c r="A79" i="5"/>
  <c r="H166" i="5"/>
  <c r="A196" i="5"/>
  <c r="A32" i="5"/>
  <c r="A103" i="5"/>
  <c r="H143" i="5"/>
  <c r="H147" i="5"/>
  <c r="H151" i="5"/>
  <c r="H155" i="5"/>
  <c r="H159" i="5"/>
  <c r="A210" i="5"/>
  <c r="H231" i="5"/>
  <c r="A19" i="5"/>
  <c r="A77" i="5"/>
  <c r="H140" i="5"/>
  <c r="H163" i="5"/>
  <c r="A55" i="5"/>
  <c r="A172" i="5"/>
  <c r="A219" i="5"/>
  <c r="A237" i="5"/>
  <c r="A21" i="5"/>
  <c r="H122" i="5"/>
  <c r="H152" i="5"/>
  <c r="A189" i="5"/>
  <c r="H207" i="5"/>
  <c r="H215" i="5"/>
  <c r="H222" i="5"/>
  <c r="A234" i="5"/>
  <c r="A2" i="5"/>
  <c r="A6" i="5"/>
  <c r="H6" i="5"/>
  <c r="H102" i="5"/>
  <c r="H106" i="5"/>
  <c r="H10" i="5"/>
  <c r="H95" i="5"/>
  <c r="H115" i="5"/>
  <c r="H134" i="5"/>
  <c r="H171" i="5"/>
  <c r="H178" i="5"/>
  <c r="H185" i="5"/>
  <c r="H219" i="5"/>
  <c r="H71" i="5"/>
  <c r="H41" i="5"/>
  <c r="H18" i="5"/>
  <c r="H53" i="5"/>
  <c r="A80" i="5"/>
  <c r="A89" i="5"/>
  <c r="H107" i="5"/>
  <c r="A131" i="5"/>
  <c r="H182" i="5"/>
  <c r="H189" i="5"/>
  <c r="A197" i="5"/>
  <c r="A209" i="5"/>
  <c r="A213" i="5"/>
  <c r="H227" i="5"/>
  <c r="H234" i="5"/>
  <c r="A50" i="5"/>
  <c r="A54" i="5"/>
  <c r="A104" i="5"/>
  <c r="A221" i="5"/>
  <c r="H116" i="5"/>
  <c r="H131" i="5"/>
  <c r="H135" i="5"/>
  <c r="H139" i="5"/>
  <c r="H176" i="5"/>
  <c r="H183" i="5"/>
  <c r="H197" i="5"/>
  <c r="H209" i="5"/>
  <c r="A225" i="5"/>
  <c r="H34" i="5"/>
  <c r="H89" i="5"/>
  <c r="H5" i="5"/>
  <c r="A17" i="5"/>
  <c r="H23" i="5"/>
  <c r="A31" i="5"/>
  <c r="H42" i="5"/>
  <c r="H46" i="5"/>
  <c r="A74" i="5"/>
  <c r="A78" i="5"/>
  <c r="H101" i="5"/>
  <c r="H128" i="5"/>
  <c r="H154" i="5"/>
  <c r="A177" i="5"/>
  <c r="A184" i="5"/>
  <c r="H186" i="5"/>
  <c r="H190" i="5"/>
  <c r="H239" i="5"/>
  <c r="H29" i="5"/>
  <c r="A9" i="5"/>
  <c r="A20" i="5"/>
  <c r="H54" i="5"/>
  <c r="H58" i="5"/>
  <c r="A86" i="5"/>
  <c r="A90" i="5"/>
  <c r="A125" i="5"/>
  <c r="A166" i="5"/>
  <c r="H221" i="5"/>
  <c r="A29" i="5"/>
  <c r="A43" i="5"/>
  <c r="A98" i="5"/>
  <c r="A102" i="5"/>
  <c r="A122" i="5"/>
  <c r="A155" i="5"/>
  <c r="H206" i="5"/>
  <c r="A222" i="5"/>
  <c r="H236" i="5"/>
  <c r="A230" i="5"/>
  <c r="A41" i="5"/>
  <c r="H59" i="5"/>
  <c r="A67" i="5"/>
  <c r="H90" i="5"/>
  <c r="H94" i="5"/>
  <c r="A130" i="5"/>
  <c r="A134" i="5"/>
  <c r="A51" i="6"/>
  <c r="H51" i="6"/>
  <c r="H131" i="6"/>
  <c r="A131" i="6"/>
  <c r="I156" i="5"/>
  <c r="G156" i="6"/>
  <c r="I156" i="6" s="1"/>
  <c r="F174" i="6"/>
  <c r="H174" i="5"/>
  <c r="H8" i="6"/>
  <c r="A8" i="6"/>
  <c r="A13" i="5"/>
  <c r="H20" i="6"/>
  <c r="A20" i="6"/>
  <c r="A25" i="5"/>
  <c r="H32" i="6"/>
  <c r="A32" i="6"/>
  <c r="A37" i="5"/>
  <c r="H44" i="6"/>
  <c r="A44" i="6"/>
  <c r="A49" i="5"/>
  <c r="A56" i="6"/>
  <c r="H56" i="6"/>
  <c r="A61" i="5"/>
  <c r="A68" i="6"/>
  <c r="H68" i="6"/>
  <c r="A73" i="5"/>
  <c r="A80" i="6"/>
  <c r="H80" i="6"/>
  <c r="A85" i="5"/>
  <c r="A92" i="6"/>
  <c r="H92" i="6"/>
  <c r="A97" i="5"/>
  <c r="A104" i="6"/>
  <c r="H104" i="6"/>
  <c r="A109" i="5"/>
  <c r="A114" i="5"/>
  <c r="G119" i="6"/>
  <c r="I119" i="6" s="1"/>
  <c r="I119" i="5"/>
  <c r="H125" i="6"/>
  <c r="A125" i="6"/>
  <c r="H139" i="6"/>
  <c r="H157" i="5"/>
  <c r="A157" i="5"/>
  <c r="F157" i="6"/>
  <c r="A160" i="5"/>
  <c r="I160" i="5"/>
  <c r="G160" i="6"/>
  <c r="I160" i="6" s="1"/>
  <c r="H164" i="6"/>
  <c r="A189" i="6"/>
  <c r="H189" i="6"/>
  <c r="A99" i="6"/>
  <c r="H99" i="6"/>
  <c r="A128" i="6"/>
  <c r="H128" i="6"/>
  <c r="H37" i="6"/>
  <c r="A37" i="6"/>
  <c r="H39" i="5"/>
  <c r="H49" i="6"/>
  <c r="A49" i="6"/>
  <c r="H51" i="5"/>
  <c r="I58" i="5"/>
  <c r="I70" i="5"/>
  <c r="H85" i="6"/>
  <c r="A85" i="6"/>
  <c r="H87" i="5"/>
  <c r="I106" i="5"/>
  <c r="H114" i="6"/>
  <c r="A114" i="6"/>
  <c r="I116" i="5"/>
  <c r="H119" i="5"/>
  <c r="G139" i="6"/>
  <c r="I139" i="6" s="1"/>
  <c r="I139" i="5"/>
  <c r="A139" i="5"/>
  <c r="H150" i="5"/>
  <c r="F150" i="6"/>
  <c r="I157" i="5"/>
  <c r="G157" i="6"/>
  <c r="I157" i="6" s="1"/>
  <c r="G164" i="6"/>
  <c r="I164" i="6" s="1"/>
  <c r="I164" i="5"/>
  <c r="H193" i="6"/>
  <c r="A193" i="6"/>
  <c r="A63" i="6"/>
  <c r="H63" i="6"/>
  <c r="H122" i="6"/>
  <c r="A122" i="6"/>
  <c r="I46" i="5"/>
  <c r="H61" i="6"/>
  <c r="A61" i="6"/>
  <c r="H63" i="5"/>
  <c r="I82" i="5"/>
  <c r="H97" i="6"/>
  <c r="A97" i="6"/>
  <c r="H99" i="5"/>
  <c r="H109" i="6"/>
  <c r="A109" i="6"/>
  <c r="H111" i="5"/>
  <c r="I3" i="5"/>
  <c r="H6" i="6"/>
  <c r="A6" i="6"/>
  <c r="H8" i="5"/>
  <c r="A11" i="5"/>
  <c r="I15" i="5"/>
  <c r="H18" i="6"/>
  <c r="A18" i="6"/>
  <c r="H20" i="5"/>
  <c r="A23" i="5"/>
  <c r="I27" i="5"/>
  <c r="H30" i="6"/>
  <c r="A30" i="6"/>
  <c r="H32" i="5"/>
  <c r="A35" i="5"/>
  <c r="I39" i="5"/>
  <c r="H42" i="6"/>
  <c r="A42" i="6"/>
  <c r="H44" i="5"/>
  <c r="A47" i="5"/>
  <c r="I51" i="5"/>
  <c r="A54" i="6"/>
  <c r="H54" i="6"/>
  <c r="H56" i="5"/>
  <c r="A59" i="5"/>
  <c r="I63" i="5"/>
  <c r="H66" i="6"/>
  <c r="A66" i="6"/>
  <c r="H68" i="5"/>
  <c r="A71" i="5"/>
  <c r="I75" i="5"/>
  <c r="H78" i="6"/>
  <c r="A78" i="6"/>
  <c r="H80" i="5"/>
  <c r="A83" i="5"/>
  <c r="I87" i="5"/>
  <c r="H90" i="6"/>
  <c r="A90" i="6"/>
  <c r="H92" i="5"/>
  <c r="A95" i="5"/>
  <c r="I99" i="5"/>
  <c r="H102" i="6"/>
  <c r="A102" i="6"/>
  <c r="H104" i="5"/>
  <c r="A107" i="5"/>
  <c r="I111" i="5"/>
  <c r="F120" i="6"/>
  <c r="A120" i="5"/>
  <c r="H125" i="5"/>
  <c r="I128" i="5"/>
  <c r="F132" i="6"/>
  <c r="H132" i="5"/>
  <c r="A132" i="5"/>
  <c r="H161" i="5"/>
  <c r="F161" i="6"/>
  <c r="F168" i="6"/>
  <c r="H168" i="5"/>
  <c r="A168" i="5"/>
  <c r="G175" i="6"/>
  <c r="I175" i="6" s="1"/>
  <c r="I175" i="5"/>
  <c r="A175" i="5"/>
  <c r="I34" i="5"/>
  <c r="H73" i="6"/>
  <c r="A73" i="6"/>
  <c r="H75" i="5"/>
  <c r="I94" i="5"/>
  <c r="A4" i="5"/>
  <c r="I8" i="5"/>
  <c r="A11" i="6"/>
  <c r="H11" i="6"/>
  <c r="H13" i="5"/>
  <c r="A16" i="5"/>
  <c r="I20" i="5"/>
  <c r="A23" i="6"/>
  <c r="H23" i="6"/>
  <c r="H25" i="5"/>
  <c r="A28" i="5"/>
  <c r="I32" i="5"/>
  <c r="A35" i="6"/>
  <c r="H35" i="6"/>
  <c r="H37" i="5"/>
  <c r="A40" i="5"/>
  <c r="I44" i="5"/>
  <c r="H47" i="6"/>
  <c r="A47" i="6"/>
  <c r="H49" i="5"/>
  <c r="A52" i="5"/>
  <c r="I56" i="5"/>
  <c r="H59" i="6"/>
  <c r="A59" i="6"/>
  <c r="H61" i="5"/>
  <c r="A64" i="5"/>
  <c r="I68" i="5"/>
  <c r="H71" i="6"/>
  <c r="A71" i="6"/>
  <c r="H73" i="5"/>
  <c r="A76" i="5"/>
  <c r="I80" i="5"/>
  <c r="H83" i="6"/>
  <c r="A83" i="6"/>
  <c r="H85" i="5"/>
  <c r="A88" i="5"/>
  <c r="I92" i="5"/>
  <c r="H95" i="6"/>
  <c r="A95" i="6"/>
  <c r="H97" i="5"/>
  <c r="A100" i="5"/>
  <c r="I104" i="5"/>
  <c r="H107" i="6"/>
  <c r="A107" i="6"/>
  <c r="H109" i="5"/>
  <c r="A112" i="5"/>
  <c r="H114" i="5"/>
  <c r="F117" i="6"/>
  <c r="H117" i="5"/>
  <c r="A123" i="5"/>
  <c r="A129" i="5"/>
  <c r="F129" i="6"/>
  <c r="H129" i="5"/>
  <c r="I132" i="5"/>
  <c r="G132" i="6"/>
  <c r="I132" i="6" s="1"/>
  <c r="H140" i="6"/>
  <c r="H158" i="6"/>
  <c r="A158" i="6"/>
  <c r="A165" i="6"/>
  <c r="H165" i="6"/>
  <c r="G168" i="6"/>
  <c r="I168" i="6" s="1"/>
  <c r="I168" i="5"/>
  <c r="H176" i="6"/>
  <c r="A213" i="6"/>
  <c r="H213" i="6"/>
  <c r="A28" i="6"/>
  <c r="H28" i="6"/>
  <c r="A40" i="6"/>
  <c r="H40" i="6"/>
  <c r="A45" i="5"/>
  <c r="H52" i="6"/>
  <c r="A52" i="6"/>
  <c r="A57" i="5"/>
  <c r="H64" i="6"/>
  <c r="A64" i="6"/>
  <c r="A69" i="5"/>
  <c r="A76" i="6"/>
  <c r="H76" i="6"/>
  <c r="A81" i="5"/>
  <c r="A88" i="6"/>
  <c r="H88" i="6"/>
  <c r="A93" i="5"/>
  <c r="A100" i="6"/>
  <c r="H100" i="6"/>
  <c r="A105" i="5"/>
  <c r="H112" i="6"/>
  <c r="A123" i="6"/>
  <c r="H123" i="6"/>
  <c r="H126" i="5"/>
  <c r="F126" i="6"/>
  <c r="H133" i="5"/>
  <c r="A133" i="5"/>
  <c r="F133" i="6"/>
  <c r="A136" i="5"/>
  <c r="G136" i="6"/>
  <c r="I136" i="6" s="1"/>
  <c r="I136" i="5"/>
  <c r="I140" i="5"/>
  <c r="A140" i="5"/>
  <c r="G140" i="6"/>
  <c r="I140" i="6" s="1"/>
  <c r="H151" i="6"/>
  <c r="F169" i="6"/>
  <c r="H169" i="5"/>
  <c r="A169" i="5"/>
  <c r="G176" i="6"/>
  <c r="I176" i="6" s="1"/>
  <c r="I176" i="5"/>
  <c r="A201" i="6"/>
  <c r="H201" i="6"/>
  <c r="H27" i="6"/>
  <c r="A27" i="6"/>
  <c r="I10" i="5"/>
  <c r="H15" i="5"/>
  <c r="H27" i="5"/>
  <c r="A57" i="6"/>
  <c r="H57" i="6"/>
  <c r="A93" i="6"/>
  <c r="H93" i="6"/>
  <c r="A105" i="6"/>
  <c r="H105" i="6"/>
  <c r="G112" i="6"/>
  <c r="I112" i="6" s="1"/>
  <c r="I112" i="5"/>
  <c r="H115" i="6"/>
  <c r="I133" i="5"/>
  <c r="G133" i="6"/>
  <c r="I133" i="6" s="1"/>
  <c r="F144" i="6"/>
  <c r="H144" i="5"/>
  <c r="A144" i="5"/>
  <c r="G151" i="6"/>
  <c r="I151" i="6" s="1"/>
  <c r="I151" i="5"/>
  <c r="A151" i="5"/>
  <c r="G169" i="6"/>
  <c r="I169" i="6" s="1"/>
  <c r="I169" i="5"/>
  <c r="H15" i="6"/>
  <c r="A15" i="6"/>
  <c r="A75" i="6"/>
  <c r="H75" i="6"/>
  <c r="I22" i="5"/>
  <c r="A33" i="6"/>
  <c r="H33" i="6"/>
  <c r="A81" i="6"/>
  <c r="H81" i="6"/>
  <c r="H14" i="6"/>
  <c r="A14" i="6"/>
  <c r="H16" i="5"/>
  <c r="I23" i="5"/>
  <c r="H26" i="6"/>
  <c r="A26" i="6"/>
  <c r="H28" i="5"/>
  <c r="I35" i="5"/>
  <c r="H38" i="6"/>
  <c r="A38" i="6"/>
  <c r="H40" i="5"/>
  <c r="I47" i="5"/>
  <c r="H50" i="6"/>
  <c r="A50" i="6"/>
  <c r="H52" i="5"/>
  <c r="I59" i="5"/>
  <c r="H62" i="6"/>
  <c r="A62" i="6"/>
  <c r="H64" i="5"/>
  <c r="I71" i="5"/>
  <c r="H74" i="6"/>
  <c r="A74" i="6"/>
  <c r="H76" i="5"/>
  <c r="I83" i="5"/>
  <c r="H86" i="6"/>
  <c r="A86" i="6"/>
  <c r="H88" i="5"/>
  <c r="I95" i="5"/>
  <c r="A98" i="6"/>
  <c r="H98" i="6"/>
  <c r="H100" i="5"/>
  <c r="I107" i="5"/>
  <c r="H110" i="6"/>
  <c r="A110" i="6"/>
  <c r="H112" i="5"/>
  <c r="G115" i="6"/>
  <c r="I115" i="6" s="1"/>
  <c r="A115" i="5"/>
  <c r="F121" i="6"/>
  <c r="A121" i="5"/>
  <c r="H123" i="5"/>
  <c r="F137" i="6"/>
  <c r="H137" i="5"/>
  <c r="A141" i="5"/>
  <c r="F141" i="6"/>
  <c r="H141" i="5"/>
  <c r="I144" i="5"/>
  <c r="G144" i="6"/>
  <c r="I144" i="6" s="1"/>
  <c r="H162" i="5"/>
  <c r="F162" i="6"/>
  <c r="F180" i="6"/>
  <c r="H180" i="5"/>
  <c r="A180" i="5"/>
  <c r="A39" i="6"/>
  <c r="H39" i="6"/>
  <c r="A111" i="6"/>
  <c r="H111" i="6"/>
  <c r="H3" i="5"/>
  <c r="A4" i="6"/>
  <c r="H4" i="6"/>
  <c r="A69" i="6"/>
  <c r="H69" i="6"/>
  <c r="H7" i="6"/>
  <c r="A7" i="6"/>
  <c r="H9" i="5"/>
  <c r="I16" i="5"/>
  <c r="H19" i="6"/>
  <c r="A19" i="6"/>
  <c r="H21" i="5"/>
  <c r="A24" i="5"/>
  <c r="I28" i="5"/>
  <c r="H31" i="6"/>
  <c r="A31" i="6"/>
  <c r="H33" i="5"/>
  <c r="A36" i="5"/>
  <c r="I40" i="5"/>
  <c r="A43" i="6"/>
  <c r="H43" i="6"/>
  <c r="H45" i="5"/>
  <c r="A48" i="5"/>
  <c r="I52" i="5"/>
  <c r="H55" i="6"/>
  <c r="A55" i="6"/>
  <c r="H57" i="5"/>
  <c r="A60" i="5"/>
  <c r="I64" i="5"/>
  <c r="H67" i="6"/>
  <c r="A67" i="6"/>
  <c r="H69" i="5"/>
  <c r="A72" i="5"/>
  <c r="I76" i="5"/>
  <c r="H79" i="6"/>
  <c r="A79" i="6"/>
  <c r="H81" i="5"/>
  <c r="A84" i="5"/>
  <c r="I88" i="5"/>
  <c r="A91" i="6"/>
  <c r="H91" i="6"/>
  <c r="H93" i="5"/>
  <c r="A96" i="5"/>
  <c r="I100" i="5"/>
  <c r="H103" i="6"/>
  <c r="A103" i="6"/>
  <c r="H105" i="5"/>
  <c r="A108" i="5"/>
  <c r="A113" i="5"/>
  <c r="F118" i="6"/>
  <c r="H118" i="5"/>
  <c r="H127" i="6"/>
  <c r="H134" i="6"/>
  <c r="A134" i="6"/>
  <c r="H145" i="5"/>
  <c r="A145" i="5"/>
  <c r="F145" i="6"/>
  <c r="A148" i="5"/>
  <c r="G148" i="6"/>
  <c r="I148" i="6" s="1"/>
  <c r="I148" i="5"/>
  <c r="H152" i="6"/>
  <c r="H173" i="6"/>
  <c r="A173" i="6"/>
  <c r="A177" i="6"/>
  <c r="H177" i="6"/>
  <c r="H119" i="6"/>
  <c r="A9" i="6"/>
  <c r="H9" i="6"/>
  <c r="H45" i="6"/>
  <c r="A45" i="6"/>
  <c r="H2" i="5"/>
  <c r="I21" i="5"/>
  <c r="H24" i="6"/>
  <c r="A24" i="6"/>
  <c r="H26" i="5"/>
  <c r="I33" i="5"/>
  <c r="H36" i="6"/>
  <c r="A36" i="6"/>
  <c r="H38" i="5"/>
  <c r="I45" i="5"/>
  <c r="H48" i="6"/>
  <c r="A48" i="6"/>
  <c r="H50" i="5"/>
  <c r="I57" i="5"/>
  <c r="H60" i="6"/>
  <c r="A60" i="6"/>
  <c r="H62" i="5"/>
  <c r="I69" i="5"/>
  <c r="H72" i="6"/>
  <c r="A72" i="6"/>
  <c r="H74" i="5"/>
  <c r="I81" i="5"/>
  <c r="H84" i="6"/>
  <c r="A84" i="6"/>
  <c r="H86" i="5"/>
  <c r="I93" i="5"/>
  <c r="H96" i="6"/>
  <c r="A96" i="6"/>
  <c r="H98" i="5"/>
  <c r="I105" i="5"/>
  <c r="H108" i="6"/>
  <c r="A108" i="6"/>
  <c r="H110" i="5"/>
  <c r="H113" i="6"/>
  <c r="A113" i="6"/>
  <c r="G127" i="6"/>
  <c r="I127" i="6" s="1"/>
  <c r="I127" i="5"/>
  <c r="A127" i="5"/>
  <c r="I145" i="5"/>
  <c r="G145" i="6"/>
  <c r="I145" i="6" s="1"/>
  <c r="I152" i="5"/>
  <c r="A152" i="5"/>
  <c r="G152" i="6"/>
  <c r="I152" i="6" s="1"/>
  <c r="G187" i="6"/>
  <c r="I187" i="6" s="1"/>
  <c r="I187" i="5"/>
  <c r="A87" i="6"/>
  <c r="H87" i="6"/>
  <c r="H13" i="6"/>
  <c r="A13" i="6"/>
  <c r="H2" i="6"/>
  <c r="A2" i="6"/>
  <c r="H4" i="5"/>
  <c r="I11" i="5"/>
  <c r="H12" i="6"/>
  <c r="A12" i="6"/>
  <c r="H14" i="5"/>
  <c r="I2" i="5"/>
  <c r="H5" i="6"/>
  <c r="A5" i="6"/>
  <c r="H7" i="5"/>
  <c r="A10" i="5"/>
  <c r="I14" i="5"/>
  <c r="H17" i="6"/>
  <c r="A17" i="6"/>
  <c r="H19" i="5"/>
  <c r="A22" i="5"/>
  <c r="I26" i="5"/>
  <c r="H29" i="6"/>
  <c r="A29" i="6"/>
  <c r="H31" i="5"/>
  <c r="A34" i="5"/>
  <c r="I38" i="5"/>
  <c r="H41" i="6"/>
  <c r="A41" i="6"/>
  <c r="H43" i="5"/>
  <c r="A46" i="5"/>
  <c r="I50" i="5"/>
  <c r="H53" i="6"/>
  <c r="A53" i="6"/>
  <c r="H55" i="5"/>
  <c r="A58" i="5"/>
  <c r="I62" i="5"/>
  <c r="H65" i="6"/>
  <c r="A65" i="6"/>
  <c r="H67" i="5"/>
  <c r="A70" i="5"/>
  <c r="I74" i="5"/>
  <c r="H77" i="6"/>
  <c r="A77" i="6"/>
  <c r="H79" i="5"/>
  <c r="A82" i="5"/>
  <c r="I86" i="5"/>
  <c r="H89" i="6"/>
  <c r="A89" i="6"/>
  <c r="H91" i="5"/>
  <c r="A94" i="5"/>
  <c r="I98" i="5"/>
  <c r="H101" i="6"/>
  <c r="A101" i="6"/>
  <c r="H103" i="5"/>
  <c r="A106" i="5"/>
  <c r="A116" i="5"/>
  <c r="I118" i="5"/>
  <c r="I121" i="5"/>
  <c r="H124" i="6"/>
  <c r="H138" i="5"/>
  <c r="F138" i="6"/>
  <c r="H149" i="5"/>
  <c r="F149" i="6"/>
  <c r="F181" i="6"/>
  <c r="H181" i="5"/>
  <c r="A181" i="5"/>
  <c r="H3" i="6"/>
  <c r="A3" i="6"/>
  <c r="H25" i="6"/>
  <c r="A25" i="6"/>
  <c r="A16" i="6"/>
  <c r="H16" i="6"/>
  <c r="A21" i="6"/>
  <c r="H21" i="6"/>
  <c r="I4" i="5"/>
  <c r="I9" i="5"/>
  <c r="A3" i="5"/>
  <c r="I7" i="5"/>
  <c r="H10" i="6"/>
  <c r="A10" i="6"/>
  <c r="H12" i="5"/>
  <c r="A15" i="5"/>
  <c r="I19" i="5"/>
  <c r="H22" i="6"/>
  <c r="A22" i="6"/>
  <c r="H24" i="5"/>
  <c r="A27" i="5"/>
  <c r="I31" i="5"/>
  <c r="H34" i="6"/>
  <c r="A34" i="6"/>
  <c r="H36" i="5"/>
  <c r="A39" i="5"/>
  <c r="I43" i="5"/>
  <c r="H46" i="6"/>
  <c r="A46" i="6"/>
  <c r="H48" i="5"/>
  <c r="A51" i="5"/>
  <c r="I55" i="5"/>
  <c r="H58" i="6"/>
  <c r="A58" i="6"/>
  <c r="H60" i="5"/>
  <c r="A63" i="5"/>
  <c r="I67" i="5"/>
  <c r="H70" i="6"/>
  <c r="A70" i="6"/>
  <c r="H72" i="5"/>
  <c r="A75" i="5"/>
  <c r="I79" i="5"/>
  <c r="H82" i="6"/>
  <c r="A82" i="6"/>
  <c r="H84" i="5"/>
  <c r="A87" i="5"/>
  <c r="I91" i="5"/>
  <c r="H94" i="6"/>
  <c r="A94" i="6"/>
  <c r="H96" i="5"/>
  <c r="A99" i="5"/>
  <c r="I103" i="5"/>
  <c r="A106" i="6"/>
  <c r="H106" i="6"/>
  <c r="H108" i="5"/>
  <c r="A111" i="5"/>
  <c r="H113" i="5"/>
  <c r="A116" i="6"/>
  <c r="H116" i="6"/>
  <c r="A119" i="5"/>
  <c r="G124" i="6"/>
  <c r="I124" i="6" s="1"/>
  <c r="I124" i="5"/>
  <c r="A128" i="5"/>
  <c r="H146" i="6"/>
  <c r="A146" i="6"/>
  <c r="A153" i="5"/>
  <c r="F153" i="6"/>
  <c r="H153" i="5"/>
  <c r="F156" i="6"/>
  <c r="H156" i="5"/>
  <c r="A156" i="5"/>
  <c r="G163" i="6"/>
  <c r="I163" i="6" s="1"/>
  <c r="I163" i="5"/>
  <c r="A163" i="5"/>
  <c r="A174" i="5"/>
  <c r="G188" i="6"/>
  <c r="I188" i="6" s="1"/>
  <c r="I188" i="5"/>
  <c r="H192" i="6"/>
  <c r="A192" i="6"/>
  <c r="H167" i="5"/>
  <c r="A170" i="5"/>
  <c r="I174" i="5"/>
  <c r="H179" i="5"/>
  <c r="A182" i="5"/>
  <c r="I186" i="5"/>
  <c r="H191" i="5"/>
  <c r="A194" i="5"/>
  <c r="I198" i="5"/>
  <c r="H203" i="5"/>
  <c r="A206" i="5"/>
  <c r="I210" i="5"/>
  <c r="A225" i="6"/>
  <c r="H225" i="6"/>
  <c r="A237" i="6"/>
  <c r="H237" i="6"/>
  <c r="H143" i="6"/>
  <c r="A166" i="6"/>
  <c r="H124" i="5"/>
  <c r="I131" i="5"/>
  <c r="H136" i="5"/>
  <c r="I143" i="5"/>
  <c r="H148" i="5"/>
  <c r="I155" i="5"/>
  <c r="H160" i="5"/>
  <c r="I167" i="5"/>
  <c r="H172" i="5"/>
  <c r="I179" i="5"/>
  <c r="H184" i="5"/>
  <c r="A187" i="5"/>
  <c r="I191" i="5"/>
  <c r="H196" i="5"/>
  <c r="A199" i="5"/>
  <c r="I203" i="5"/>
  <c r="H208" i="5"/>
  <c r="A211" i="5"/>
  <c r="I215" i="5"/>
  <c r="H220" i="5"/>
  <c r="A223" i="5"/>
  <c r="I227" i="5"/>
  <c r="H230" i="6"/>
  <c r="A230" i="6"/>
  <c r="H232" i="5"/>
  <c r="A235" i="5"/>
  <c r="I239" i="5"/>
  <c r="H179" i="6"/>
  <c r="A194" i="6"/>
  <c r="H165" i="5"/>
  <c r="H175" i="6"/>
  <c r="H187" i="6"/>
  <c r="A192" i="5"/>
  <c r="H199" i="6"/>
  <c r="A199" i="6"/>
  <c r="H201" i="5"/>
  <c r="A204" i="5"/>
  <c r="I208" i="5"/>
  <c r="H211" i="6"/>
  <c r="A211" i="6"/>
  <c r="H213" i="5"/>
  <c r="A216" i="5"/>
  <c r="I220" i="5"/>
  <c r="H223" i="6"/>
  <c r="A223" i="6"/>
  <c r="H225" i="5"/>
  <c r="A228" i="5"/>
  <c r="I232" i="5"/>
  <c r="H235" i="6"/>
  <c r="A235" i="6"/>
  <c r="H237" i="5"/>
  <c r="A240" i="5"/>
  <c r="A167" i="6"/>
  <c r="H204" i="6"/>
  <c r="A204" i="6"/>
  <c r="H216" i="6"/>
  <c r="A216" i="6"/>
  <c r="H228" i="6"/>
  <c r="A228" i="6"/>
  <c r="H240" i="6"/>
  <c r="A240" i="6"/>
  <c r="A182" i="6"/>
  <c r="H175" i="5"/>
  <c r="A178" i="5"/>
  <c r="I182" i="5"/>
  <c r="H185" i="6"/>
  <c r="A185" i="6"/>
  <c r="H187" i="5"/>
  <c r="A190" i="5"/>
  <c r="I194" i="5"/>
  <c r="H197" i="6"/>
  <c r="A197" i="6"/>
  <c r="H199" i="5"/>
  <c r="A202" i="5"/>
  <c r="I206" i="5"/>
  <c r="H209" i="6"/>
  <c r="A209" i="6"/>
  <c r="H211" i="5"/>
  <c r="A214" i="5"/>
  <c r="I218" i="5"/>
  <c r="H221" i="6"/>
  <c r="A221" i="6"/>
  <c r="H223" i="5"/>
  <c r="A226" i="5"/>
  <c r="I230" i="5"/>
  <c r="H233" i="6"/>
  <c r="A233" i="6"/>
  <c r="H235" i="5"/>
  <c r="A238" i="5"/>
  <c r="G183" i="6"/>
  <c r="I183" i="6" s="1"/>
  <c r="A135" i="5"/>
  <c r="A147" i="5"/>
  <c r="A159" i="5"/>
  <c r="A171" i="5"/>
  <c r="A178" i="6"/>
  <c r="A183" i="5"/>
  <c r="A190" i="6"/>
  <c r="H192" i="5"/>
  <c r="A195" i="5"/>
  <c r="I199" i="5"/>
  <c r="H202" i="6"/>
  <c r="A202" i="6"/>
  <c r="H204" i="5"/>
  <c r="A207" i="5"/>
  <c r="I211" i="5"/>
  <c r="H214" i="6"/>
  <c r="A214" i="6"/>
  <c r="H216" i="5"/>
  <c r="I223" i="5"/>
  <c r="H226" i="6"/>
  <c r="A226" i="6"/>
  <c r="H228" i="5"/>
  <c r="I235" i="5"/>
  <c r="H238" i="6"/>
  <c r="A238" i="6"/>
  <c r="H240" i="5"/>
  <c r="A170" i="6"/>
  <c r="A135" i="6"/>
  <c r="A147" i="6"/>
  <c r="A159" i="6"/>
  <c r="A164" i="5"/>
  <c r="H171" i="6"/>
  <c r="A171" i="6"/>
  <c r="H173" i="5"/>
  <c r="A176" i="5"/>
  <c r="H183" i="6"/>
  <c r="A188" i="5"/>
  <c r="H195" i="6"/>
  <c r="A195" i="6"/>
  <c r="A200" i="5"/>
  <c r="H207" i="6"/>
  <c r="A207" i="6"/>
  <c r="A212" i="5"/>
  <c r="H219" i="6"/>
  <c r="A219" i="6"/>
  <c r="A224" i="5"/>
  <c r="H231" i="6"/>
  <c r="A231" i="6"/>
  <c r="A236" i="5"/>
  <c r="I240" i="5"/>
  <c r="A206" i="6"/>
  <c r="I125" i="5"/>
  <c r="H130" i="5"/>
  <c r="I137" i="5"/>
  <c r="H142" i="5"/>
  <c r="A193" i="5"/>
  <c r="H200" i="6"/>
  <c r="A200" i="6"/>
  <c r="H202" i="5"/>
  <c r="A205" i="5"/>
  <c r="I209" i="5"/>
  <c r="H212" i="6"/>
  <c r="A212" i="6"/>
  <c r="H214" i="5"/>
  <c r="A217" i="5"/>
  <c r="I221" i="5"/>
  <c r="H224" i="6"/>
  <c r="A224" i="6"/>
  <c r="H226" i="5"/>
  <c r="A229" i="5"/>
  <c r="I233" i="5"/>
  <c r="H236" i="6"/>
  <c r="A236" i="6"/>
  <c r="H238" i="5"/>
  <c r="A241" i="5"/>
  <c r="A154" i="6"/>
  <c r="H205" i="6"/>
  <c r="A205" i="6"/>
  <c r="H217" i="6"/>
  <c r="A217" i="6"/>
  <c r="H229" i="6"/>
  <c r="A229" i="6"/>
  <c r="H241" i="6"/>
  <c r="A241" i="6"/>
  <c r="A142" i="6"/>
  <c r="F188" i="6"/>
  <c r="H186" i="6"/>
  <c r="A186" i="6"/>
  <c r="A191" i="5"/>
  <c r="I195" i="5"/>
  <c r="H198" i="6"/>
  <c r="A198" i="6"/>
  <c r="H200" i="5"/>
  <c r="A203" i="5"/>
  <c r="I207" i="5"/>
  <c r="H210" i="6"/>
  <c r="A210" i="6"/>
  <c r="H212" i="5"/>
  <c r="A215" i="5"/>
  <c r="I219" i="5"/>
  <c r="H222" i="6"/>
  <c r="A222" i="6"/>
  <c r="H224" i="5"/>
  <c r="A227" i="5"/>
  <c r="I231" i="5"/>
  <c r="H234" i="6"/>
  <c r="A234" i="6"/>
  <c r="A239" i="5"/>
  <c r="A130" i="6"/>
  <c r="A191" i="6"/>
  <c r="H193" i="5"/>
  <c r="I200" i="5"/>
  <c r="A203" i="6"/>
  <c r="H205" i="5"/>
  <c r="A208" i="5"/>
  <c r="I212" i="5"/>
  <c r="A215" i="6"/>
  <c r="H217" i="5"/>
  <c r="A220" i="5"/>
  <c r="I224" i="5"/>
  <c r="A227" i="6"/>
  <c r="H227" i="6"/>
  <c r="H229" i="5"/>
  <c r="A232" i="5"/>
  <c r="I236" i="5"/>
  <c r="A239" i="6"/>
  <c r="H239" i="6"/>
  <c r="H241" i="5"/>
  <c r="A155" i="6"/>
  <c r="H159" i="6"/>
  <c r="H190" i="6"/>
  <c r="H215" i="6"/>
  <c r="A165" i="5"/>
  <c r="A172" i="6"/>
  <c r="H172" i="6"/>
  <c r="A184" i="6"/>
  <c r="H184" i="6"/>
  <c r="A196" i="6"/>
  <c r="H196" i="6"/>
  <c r="A208" i="6"/>
  <c r="H208" i="6"/>
  <c r="A220" i="6"/>
  <c r="H220" i="6"/>
  <c r="A232" i="6"/>
  <c r="H232" i="6"/>
  <c r="I241" i="5"/>
  <c r="H191" i="6"/>
  <c r="A218" i="6"/>
  <c r="A119" i="6" l="1"/>
  <c r="A187" i="6"/>
  <c r="A136" i="6"/>
  <c r="A112" i="6"/>
  <c r="A127" i="6"/>
  <c r="A148" i="6"/>
  <c r="A175" i="6"/>
  <c r="A152" i="6"/>
  <c r="H180" i="6"/>
  <c r="A180" i="6"/>
  <c r="H121" i="6"/>
  <c r="A121" i="6"/>
  <c r="H162" i="6"/>
  <c r="A162" i="6"/>
  <c r="H168" i="6"/>
  <c r="A168" i="6"/>
  <c r="A129" i="6"/>
  <c r="H129" i="6"/>
  <c r="H181" i="6"/>
  <c r="A181" i="6"/>
  <c r="H161" i="6"/>
  <c r="A161" i="6"/>
  <c r="H157" i="6"/>
  <c r="A157" i="6"/>
  <c r="H133" i="6"/>
  <c r="A133" i="6"/>
  <c r="A117" i="6"/>
  <c r="H117" i="6"/>
  <c r="H188" i="6"/>
  <c r="A188" i="6"/>
  <c r="H149" i="6"/>
  <c r="A149" i="6"/>
  <c r="H118" i="6"/>
  <c r="A118" i="6"/>
  <c r="H174" i="6"/>
  <c r="A174" i="6"/>
  <c r="H156" i="6"/>
  <c r="A156" i="6"/>
  <c r="A153" i="6"/>
  <c r="H153" i="6"/>
  <c r="H138" i="6"/>
  <c r="A138" i="6"/>
  <c r="A141" i="6"/>
  <c r="H141" i="6"/>
  <c r="H169" i="6"/>
  <c r="A169" i="6"/>
  <c r="H126" i="6"/>
  <c r="A126" i="6"/>
  <c r="H132" i="6"/>
  <c r="A132" i="6"/>
  <c r="H150" i="6"/>
  <c r="A150" i="6"/>
  <c r="A139" i="6"/>
  <c r="H144" i="6"/>
  <c r="A144" i="6"/>
  <c r="A140" i="6"/>
  <c r="A124" i="6"/>
  <c r="H145" i="6"/>
  <c r="A145" i="6"/>
  <c r="A151" i="6"/>
  <c r="A163" i="6"/>
  <c r="H137" i="6"/>
  <c r="A137" i="6"/>
  <c r="A115" i="6"/>
  <c r="A183" i="6"/>
  <c r="A160" i="6"/>
  <c r="A176" i="6"/>
  <c r="H120" i="6"/>
  <c r="A120" i="6"/>
  <c r="A164" i="6"/>
</calcChain>
</file>

<file path=xl/sharedStrings.xml><?xml version="1.0" encoding="utf-8"?>
<sst xmlns="http://schemas.openxmlformats.org/spreadsheetml/2006/main" count="8305" uniqueCount="1034">
  <si>
    <t>MetroCalm 벡터 노선도 좌표 작업 파일</t>
  </si>
  <si>
    <t>목표</t>
  </si>
  <si>
    <t>사용자 선택용 station_key, 지도 렌더링용 visual_node_id, 역명 label, 클릭 hitbox를 분리해서 관리합니다.</t>
  </si>
  <si>
    <t>작업 순서 1</t>
  </si>
  <si>
    <t>Station_Visual_Nodes에서 각 visual_node_id별 x_px, y_px를 Inkscape/Figma 기준 픽셀로 입력합니다. 환승역은 노선별로 여러 좌표를 둡니다.</t>
  </si>
  <si>
    <t>작업 순서 2</t>
  </si>
  <si>
    <t>Station_Click_Areas의 click_x/y는 visual node 평균으로 자동 계산됩니다. 복잡한 환승역만 수동 override하세요.</t>
  </si>
  <si>
    <t>작업 순서 3</t>
  </si>
  <si>
    <t>Station_Labels의 label_x/y는 click area 기준으로 자동 계산됩니다. 역명이 겹치는 곳만 수동 보정하세요.</t>
  </si>
  <si>
    <t>작업 순서 4</t>
  </si>
  <si>
    <t>Line_Sequences는 노선 렌더링 순서입니다. station_key가 아니라 visual_node_id 기준으로 선을 연결합니다.</t>
  </si>
  <si>
    <t>작업 순서 5</t>
  </si>
  <si>
    <t>Transfer_Links는 환승역 내부 연결선입니다. 보이는 연결선일 뿐, 실제 환승 시간 평가는 별도 데이터로 유지합니다.</t>
  </si>
  <si>
    <t>핵심 원칙</t>
  </si>
  <si>
    <t>사용자 화면: station_key / 지도 렌더링: visual_node_id / 내부 라우팅: station_uid. 세 계층을 혼동하지 않습니다.</t>
  </si>
  <si>
    <t>이미지 기준 크기</t>
  </si>
  <si>
    <t>Config 시트의 image_width_px=4900, image_height_px=2757 기준입니다. 이미지 크기가 바뀌면 Config만 수정하세요.</t>
  </si>
  <si>
    <t>클릭 UX</t>
  </si>
  <si>
    <t>정확한 픽셀을 클릭하지 않아도 되도록 Station_Click_Areas의 투명 hitbox를 최상단 레이어에 둡니다.</t>
  </si>
  <si>
    <t>parameter</t>
  </si>
  <si>
    <t>value</t>
  </si>
  <si>
    <t>note</t>
  </si>
  <si>
    <t>image_width_px</t>
  </si>
  <si>
    <t>원본/작업 기준 이미지 가로 픽셀. x_pct 계산 기준</t>
  </si>
  <si>
    <t>image_height_px</t>
  </si>
  <si>
    <t>원본/작업 기준 이미지 세로 픽셀. y_pct 계산 기준</t>
  </si>
  <si>
    <t>default_general_marker_radius_px</t>
  </si>
  <si>
    <t>지도에 보이는 일반역 원 반경</t>
  </si>
  <si>
    <t>default_transfer_marker_radius_px</t>
  </si>
  <si>
    <t>지도에 보이는 환승역 visual node 반경</t>
  </si>
  <si>
    <t>default_general_click_radius_px</t>
  </si>
  <si>
    <t>일반역 클릭 hitbox 반경</t>
  </si>
  <si>
    <t>default_transfer_click_radius_px</t>
  </si>
  <si>
    <t>2개 노선 환승역 클릭 hitbox 반경</t>
  </si>
  <si>
    <t>default_complex_transfer_click_radius_px</t>
  </si>
  <si>
    <t>3개 이상 노선 환승역 클릭 hitbox 반경</t>
  </si>
  <si>
    <t>coordinate_origin</t>
  </si>
  <si>
    <t>top-left</t>
  </si>
  <si>
    <t>좌표 원점은 이미지 좌상단</t>
  </si>
  <si>
    <t>coordinate_unit</t>
  </si>
  <si>
    <t>pixel</t>
  </si>
  <si>
    <t>x_px, y_px는 픽셀 기준. x_pct, y_pct는 자동 계산</t>
  </si>
  <si>
    <t>final_render_target</t>
  </si>
  <si>
    <t>SVG or Plotly vector map</t>
  </si>
  <si>
    <t>PNG 배경이 아니라 좌표 기반 벡터 렌더링에도 사용 가능</t>
  </si>
  <si>
    <t>station_no</t>
  </si>
  <si>
    <t>station_key</t>
  </si>
  <si>
    <t>station_name</t>
  </si>
  <si>
    <t>display_name</t>
  </si>
  <si>
    <t>available_lines</t>
  </si>
  <si>
    <t>candidate_station_uids</t>
  </si>
  <si>
    <t>project_branches</t>
  </si>
  <si>
    <t>is_transfer_station</t>
  </si>
  <si>
    <t>is_event_station</t>
  </si>
  <si>
    <t>alias_or_note</t>
  </si>
  <si>
    <t>memo</t>
  </si>
  <si>
    <t>서울역</t>
  </si>
  <si>
    <t>1,4</t>
  </si>
  <si>
    <t>1:main;4:main</t>
  </si>
  <si>
    <t>시청</t>
  </si>
  <si>
    <t>시청역</t>
  </si>
  <si>
    <t>1,2</t>
  </si>
  <si>
    <t>1:main;2:main</t>
  </si>
  <si>
    <t>종각</t>
  </si>
  <si>
    <t>종각역</t>
  </si>
  <si>
    <t>1</t>
  </si>
  <si>
    <t>1:main</t>
  </si>
  <si>
    <t>종로3가</t>
  </si>
  <si>
    <t>종로3가역</t>
  </si>
  <si>
    <t>1,3,5</t>
  </si>
  <si>
    <t>1:main;3:main;5:common</t>
  </si>
  <si>
    <t>종로5가</t>
  </si>
  <si>
    <t>종로5가역</t>
  </si>
  <si>
    <t>동대문</t>
  </si>
  <si>
    <t>동대문역</t>
  </si>
  <si>
    <t>동묘앞</t>
  </si>
  <si>
    <t>동묘앞역</t>
  </si>
  <si>
    <t>1,6</t>
  </si>
  <si>
    <t>1:main;6:main</t>
  </si>
  <si>
    <t>신설동</t>
  </si>
  <si>
    <t>신설동역</t>
  </si>
  <si>
    <t>1:main;2:seongsu_branch</t>
  </si>
  <si>
    <t>제기동</t>
  </si>
  <si>
    <t>제기동역</t>
  </si>
  <si>
    <t>청량리</t>
  </si>
  <si>
    <t>청량리역</t>
  </si>
  <si>
    <t>청량리(서울시립대입구)</t>
  </si>
  <si>
    <t>을지로입구</t>
  </si>
  <si>
    <t>을지로입구역</t>
  </si>
  <si>
    <t>2</t>
  </si>
  <si>
    <t>2:main</t>
  </si>
  <si>
    <t>을지로3가</t>
  </si>
  <si>
    <t>을지로3가역</t>
  </si>
  <si>
    <t>2,3</t>
  </si>
  <si>
    <t>2:main;3:main</t>
  </si>
  <si>
    <t>을지로4가</t>
  </si>
  <si>
    <t>을지로4가역</t>
  </si>
  <si>
    <t>2,5</t>
  </si>
  <si>
    <t>2:main;5:common</t>
  </si>
  <si>
    <t>동대문역사문화공원</t>
  </si>
  <si>
    <t>동대문역사문화공원역</t>
  </si>
  <si>
    <t>2,4,5</t>
  </si>
  <si>
    <t>2:main;4:main;5:common</t>
  </si>
  <si>
    <t>동대문역사문화공원(DDP)</t>
  </si>
  <si>
    <t>신당</t>
  </si>
  <si>
    <t>신당역</t>
  </si>
  <si>
    <t>2,6</t>
  </si>
  <si>
    <t>2:main;6:main</t>
  </si>
  <si>
    <t>상왕십리</t>
  </si>
  <si>
    <t>상왕십리역</t>
  </si>
  <si>
    <t>왕십리</t>
  </si>
  <si>
    <t>왕십리역</t>
  </si>
  <si>
    <t>한양대</t>
  </si>
  <si>
    <t>한양대역</t>
  </si>
  <si>
    <t>뚝섬</t>
  </si>
  <si>
    <t>뚝섬역</t>
  </si>
  <si>
    <t>성수</t>
  </si>
  <si>
    <t>성수역</t>
  </si>
  <si>
    <t>2:main;2:seongsu_branch</t>
  </si>
  <si>
    <t>건대입구</t>
  </si>
  <si>
    <t>건대입구역</t>
  </si>
  <si>
    <t>2,7</t>
  </si>
  <si>
    <t>2:main;7:main</t>
  </si>
  <si>
    <t>구의</t>
  </si>
  <si>
    <t>구의역</t>
  </si>
  <si>
    <t>강변</t>
  </si>
  <si>
    <t>강변역</t>
  </si>
  <si>
    <t>잠실나루</t>
  </si>
  <si>
    <t>잠실나루역</t>
  </si>
  <si>
    <t>잠실</t>
  </si>
  <si>
    <t>잠실역</t>
  </si>
  <si>
    <t>2,8</t>
  </si>
  <si>
    <t>2:main;8:main</t>
  </si>
  <si>
    <t>잠실새내</t>
  </si>
  <si>
    <t>잠실새내역</t>
  </si>
  <si>
    <t>종합운동장</t>
  </si>
  <si>
    <t>종합운동장역</t>
  </si>
  <si>
    <t>삼성</t>
  </si>
  <si>
    <t>삼성역</t>
  </si>
  <si>
    <t>선릉</t>
  </si>
  <si>
    <t>선릉역</t>
  </si>
  <si>
    <t>역삼</t>
  </si>
  <si>
    <t>역삼역</t>
  </si>
  <si>
    <t>강남</t>
  </si>
  <si>
    <t>강남역</t>
  </si>
  <si>
    <t>교대</t>
  </si>
  <si>
    <t>교대역</t>
  </si>
  <si>
    <t>서초</t>
  </si>
  <si>
    <t>서초역</t>
  </si>
  <si>
    <t>방배</t>
  </si>
  <si>
    <t>방배역</t>
  </si>
  <si>
    <t>사당</t>
  </si>
  <si>
    <t>사당역</t>
  </si>
  <si>
    <t>2,4</t>
  </si>
  <si>
    <t>2:main;4:main</t>
  </si>
  <si>
    <t>낙성대</t>
  </si>
  <si>
    <t>낙성대역</t>
  </si>
  <si>
    <t>서울대입구</t>
  </si>
  <si>
    <t>서울대입구역</t>
  </si>
  <si>
    <t>봉천</t>
  </si>
  <si>
    <t>봉천역</t>
  </si>
  <si>
    <t>신림</t>
  </si>
  <si>
    <t>신림역</t>
  </si>
  <si>
    <t>신대방</t>
  </si>
  <si>
    <t>신대방역</t>
  </si>
  <si>
    <t>구로디지털단지</t>
  </si>
  <si>
    <t>구로디지털단지역</t>
  </si>
  <si>
    <t>대림</t>
  </si>
  <si>
    <t>대림역</t>
  </si>
  <si>
    <t>신도림</t>
  </si>
  <si>
    <t>신도림역</t>
  </si>
  <si>
    <t>2:main;2:sinjeong_branch</t>
  </si>
  <si>
    <t>문래</t>
  </si>
  <si>
    <t>문래역</t>
  </si>
  <si>
    <t>영등포구청</t>
  </si>
  <si>
    <t>영등포구청역</t>
  </si>
  <si>
    <t>당산</t>
  </si>
  <si>
    <t>당산역</t>
  </si>
  <si>
    <t>합정</t>
  </si>
  <si>
    <t>합정역</t>
  </si>
  <si>
    <t>홍대입구</t>
  </si>
  <si>
    <t>홍대입구역</t>
  </si>
  <si>
    <t>신촌</t>
  </si>
  <si>
    <t>신촌역</t>
  </si>
  <si>
    <t>이대</t>
  </si>
  <si>
    <t>이대역</t>
  </si>
  <si>
    <t>아현</t>
  </si>
  <si>
    <t>아현역</t>
  </si>
  <si>
    <t>충정로</t>
  </si>
  <si>
    <t>충정로역</t>
  </si>
  <si>
    <t>용답</t>
  </si>
  <si>
    <t>용답역</t>
  </si>
  <si>
    <t>2:seongsu_branch</t>
  </si>
  <si>
    <t>신답</t>
  </si>
  <si>
    <t>신답역</t>
  </si>
  <si>
    <t>용두</t>
  </si>
  <si>
    <t>용두역</t>
  </si>
  <si>
    <t>도림천</t>
  </si>
  <si>
    <t>도림천역</t>
  </si>
  <si>
    <t>2:sinjeong_branch</t>
  </si>
  <si>
    <t>양천구청</t>
  </si>
  <si>
    <t>양천구청역</t>
  </si>
  <si>
    <t>신정네거리</t>
  </si>
  <si>
    <t>신정네거리역</t>
  </si>
  <si>
    <t>까치산</t>
  </si>
  <si>
    <t>까치산역</t>
  </si>
  <si>
    <t>2:sinjeong_branch;5:common</t>
  </si>
  <si>
    <t>지축</t>
  </si>
  <si>
    <t>지축역</t>
  </si>
  <si>
    <t>3</t>
  </si>
  <si>
    <t>3:main</t>
  </si>
  <si>
    <t>구파발</t>
  </si>
  <si>
    <t>구파발역</t>
  </si>
  <si>
    <t>연신내</t>
  </si>
  <si>
    <t>연신내역</t>
  </si>
  <si>
    <t>3,6</t>
  </si>
  <si>
    <t>3:main;6:main</t>
  </si>
  <si>
    <t>불광</t>
  </si>
  <si>
    <t>불광역</t>
  </si>
  <si>
    <t>녹번</t>
  </si>
  <si>
    <t>녹번역</t>
  </si>
  <si>
    <t>홍제</t>
  </si>
  <si>
    <t>홍제역</t>
  </si>
  <si>
    <t>무악재</t>
  </si>
  <si>
    <t>무악재역</t>
  </si>
  <si>
    <t>독립문</t>
  </si>
  <si>
    <t>독립문역</t>
  </si>
  <si>
    <t>경복궁</t>
  </si>
  <si>
    <t>경복궁역</t>
  </si>
  <si>
    <t>경복궁(정부서울청사)</t>
  </si>
  <si>
    <t>안국</t>
  </si>
  <si>
    <t>안국역</t>
  </si>
  <si>
    <t>충무로</t>
  </si>
  <si>
    <t>충무로역</t>
  </si>
  <si>
    <t>3,4</t>
  </si>
  <si>
    <t>3:main;4:main</t>
  </si>
  <si>
    <t>동대입구</t>
  </si>
  <si>
    <t>동대입구역</t>
  </si>
  <si>
    <t>약수</t>
  </si>
  <si>
    <t>약수역</t>
  </si>
  <si>
    <t>금호</t>
  </si>
  <si>
    <t>금호역</t>
  </si>
  <si>
    <t>옥수</t>
  </si>
  <si>
    <t>옥수역</t>
  </si>
  <si>
    <t>압구정</t>
  </si>
  <si>
    <t>압구정역</t>
  </si>
  <si>
    <t>신사</t>
  </si>
  <si>
    <t>신사역</t>
  </si>
  <si>
    <t>잠원</t>
  </si>
  <si>
    <t>잠원역</t>
  </si>
  <si>
    <t>고속터미널</t>
  </si>
  <si>
    <t>고속터미널역</t>
  </si>
  <si>
    <t>3,7</t>
  </si>
  <si>
    <t>3:main;7:main</t>
  </si>
  <si>
    <t>남부터미널</t>
  </si>
  <si>
    <t>남부터미널역</t>
  </si>
  <si>
    <t>양재</t>
  </si>
  <si>
    <t>양재역</t>
  </si>
  <si>
    <t>매봉</t>
  </si>
  <si>
    <t>매봉역</t>
  </si>
  <si>
    <t>도곡</t>
  </si>
  <si>
    <t>도곡역</t>
  </si>
  <si>
    <t>대치</t>
  </si>
  <si>
    <t>대치역</t>
  </si>
  <si>
    <t>학여울</t>
  </si>
  <si>
    <t>학여울역</t>
  </si>
  <si>
    <t>대청</t>
  </si>
  <si>
    <t>대청역</t>
  </si>
  <si>
    <t>일원</t>
  </si>
  <si>
    <t>일원역</t>
  </si>
  <si>
    <t>수서</t>
  </si>
  <si>
    <t>수서역</t>
  </si>
  <si>
    <t>가락시장</t>
  </si>
  <si>
    <t>가락시장역</t>
  </si>
  <si>
    <t>3,8</t>
  </si>
  <si>
    <t>3:main;8:main</t>
  </si>
  <si>
    <t>경찰병원</t>
  </si>
  <si>
    <t>경찰병원역</t>
  </si>
  <si>
    <t>오금</t>
  </si>
  <si>
    <t>오금역</t>
  </si>
  <si>
    <t>3,5</t>
  </si>
  <si>
    <t>3:main;5:macheon_branch</t>
  </si>
  <si>
    <t>불암산</t>
  </si>
  <si>
    <t>불암산역</t>
  </si>
  <si>
    <t>4</t>
  </si>
  <si>
    <t>4:main</t>
  </si>
  <si>
    <t>당고개</t>
  </si>
  <si>
    <t>상계</t>
  </si>
  <si>
    <t>상계역</t>
  </si>
  <si>
    <t>노원</t>
  </si>
  <si>
    <t>노원역</t>
  </si>
  <si>
    <t>4,7</t>
  </si>
  <si>
    <t>4:main;7:main</t>
  </si>
  <si>
    <t>창동</t>
  </si>
  <si>
    <t>창동역</t>
  </si>
  <si>
    <t>쌍문</t>
  </si>
  <si>
    <t>쌍문역</t>
  </si>
  <si>
    <t>수유</t>
  </si>
  <si>
    <t>수유역</t>
  </si>
  <si>
    <t>미아</t>
  </si>
  <si>
    <t>미아역</t>
  </si>
  <si>
    <t>미아사거리</t>
  </si>
  <si>
    <t>미아사거리역</t>
  </si>
  <si>
    <t>길음</t>
  </si>
  <si>
    <t>길음역</t>
  </si>
  <si>
    <t>성신여대입구</t>
  </si>
  <si>
    <t>성신여대입구역</t>
  </si>
  <si>
    <t>한성대입구</t>
  </si>
  <si>
    <t>한성대입구역</t>
  </si>
  <si>
    <t>혜화</t>
  </si>
  <si>
    <t>혜화역</t>
  </si>
  <si>
    <t>명동</t>
  </si>
  <si>
    <t>명동역</t>
  </si>
  <si>
    <t>회현</t>
  </si>
  <si>
    <t>회현역</t>
  </si>
  <si>
    <t>숙대입구</t>
  </si>
  <si>
    <t>숙대입구역</t>
  </si>
  <si>
    <t>숙대입구(갈월)</t>
  </si>
  <si>
    <t>삼각지</t>
  </si>
  <si>
    <t>삼각지역</t>
  </si>
  <si>
    <t>4,6</t>
  </si>
  <si>
    <t>4:main;6:main</t>
  </si>
  <si>
    <t>신용산</t>
  </si>
  <si>
    <t>신용산역</t>
  </si>
  <si>
    <t>이촌</t>
  </si>
  <si>
    <t>이촌역</t>
  </si>
  <si>
    <t>동작</t>
  </si>
  <si>
    <t>동작역</t>
  </si>
  <si>
    <t>이수</t>
  </si>
  <si>
    <t>이수역</t>
  </si>
  <si>
    <t>총신대입구(이수)</t>
  </si>
  <si>
    <t>남태령</t>
  </si>
  <si>
    <t>남태령역</t>
  </si>
  <si>
    <t>방화</t>
  </si>
  <si>
    <t>방화역</t>
  </si>
  <si>
    <t>5</t>
  </si>
  <si>
    <t>5:common</t>
  </si>
  <si>
    <t>개화산</t>
  </si>
  <si>
    <t>개화산역</t>
  </si>
  <si>
    <t>김포공항</t>
  </si>
  <si>
    <t>김포공항역</t>
  </si>
  <si>
    <t>송정</t>
  </si>
  <si>
    <t>송정역</t>
  </si>
  <si>
    <t>마곡</t>
  </si>
  <si>
    <t>마곡역</t>
  </si>
  <si>
    <t>발산</t>
  </si>
  <si>
    <t>발산역</t>
  </si>
  <si>
    <t>우장산</t>
  </si>
  <si>
    <t>우장산역</t>
  </si>
  <si>
    <t>화곡</t>
  </si>
  <si>
    <t>화곡역</t>
  </si>
  <si>
    <t>신정</t>
  </si>
  <si>
    <t>신정역</t>
  </si>
  <si>
    <t>목동</t>
  </si>
  <si>
    <t>목동역</t>
  </si>
  <si>
    <t>오목교</t>
  </si>
  <si>
    <t>오목교역</t>
  </si>
  <si>
    <t>양평</t>
  </si>
  <si>
    <t>양평역</t>
  </si>
  <si>
    <t>영등포시장</t>
  </si>
  <si>
    <t>영등포시장역</t>
  </si>
  <si>
    <t>신길</t>
  </si>
  <si>
    <t>신길역</t>
  </si>
  <si>
    <t>여의도</t>
  </si>
  <si>
    <t>여의도역</t>
  </si>
  <si>
    <t>여의나루</t>
  </si>
  <si>
    <t>여의나루역</t>
  </si>
  <si>
    <t>마포</t>
  </si>
  <si>
    <t>마포역</t>
  </si>
  <si>
    <t>공덕</t>
  </si>
  <si>
    <t>공덕역</t>
  </si>
  <si>
    <t>5,6</t>
  </si>
  <si>
    <t>5:common;6:main</t>
  </si>
  <si>
    <t>애오개</t>
  </si>
  <si>
    <t>애오개역</t>
  </si>
  <si>
    <t>서대문</t>
  </si>
  <si>
    <t>서대문역</t>
  </si>
  <si>
    <t>광화문</t>
  </si>
  <si>
    <t>광화문역</t>
  </si>
  <si>
    <t>광화문(세종문화회관)</t>
  </si>
  <si>
    <t>청구</t>
  </si>
  <si>
    <t>청구역</t>
  </si>
  <si>
    <t>신금호</t>
  </si>
  <si>
    <t>신금호역</t>
  </si>
  <si>
    <t>행당</t>
  </si>
  <si>
    <t>행당역</t>
  </si>
  <si>
    <t>마장</t>
  </si>
  <si>
    <t>마장역</t>
  </si>
  <si>
    <t>답십리</t>
  </si>
  <si>
    <t>답십리역</t>
  </si>
  <si>
    <t>장한평</t>
  </si>
  <si>
    <t>장한평역</t>
  </si>
  <si>
    <t>군자</t>
  </si>
  <si>
    <t>군자역</t>
  </si>
  <si>
    <t>5,7</t>
  </si>
  <si>
    <t>5:common;7:main</t>
  </si>
  <si>
    <t>아차산</t>
  </si>
  <si>
    <t>아차산역</t>
  </si>
  <si>
    <t>광나루</t>
  </si>
  <si>
    <t>광나루역</t>
  </si>
  <si>
    <t>천호</t>
  </si>
  <si>
    <t>천호역</t>
  </si>
  <si>
    <t>5,8</t>
  </si>
  <si>
    <t>5:common;8:main</t>
  </si>
  <si>
    <t>강동</t>
  </si>
  <si>
    <t>강동역</t>
  </si>
  <si>
    <t>5:common;5:hanam_branch;5:macheon_branch</t>
  </si>
  <si>
    <t>길동</t>
  </si>
  <si>
    <t>길동역</t>
  </si>
  <si>
    <t>5:hanam_branch</t>
  </si>
  <si>
    <t>굽은다리</t>
  </si>
  <si>
    <t>굽은다리역</t>
  </si>
  <si>
    <t>명일</t>
  </si>
  <si>
    <t>명일역</t>
  </si>
  <si>
    <t>고덕</t>
  </si>
  <si>
    <t>고덕역</t>
  </si>
  <si>
    <t>상일동</t>
  </si>
  <si>
    <t>상일동역</t>
  </si>
  <si>
    <t>강일</t>
  </si>
  <si>
    <t>강일역</t>
  </si>
  <si>
    <t>미사</t>
  </si>
  <si>
    <t>미사역</t>
  </si>
  <si>
    <t>하남풍산</t>
  </si>
  <si>
    <t>하남풍산역</t>
  </si>
  <si>
    <t>하남시청</t>
  </si>
  <si>
    <t>하남시청역</t>
  </si>
  <si>
    <t>하남시청(덕풍·신장)</t>
  </si>
  <si>
    <t>하남검단산</t>
  </si>
  <si>
    <t>하남검단산역</t>
  </si>
  <si>
    <t>둔촌동</t>
  </si>
  <si>
    <t>둔촌동역</t>
  </si>
  <si>
    <t>5:macheon_branch</t>
  </si>
  <si>
    <t>올림픽공원</t>
  </si>
  <si>
    <t>올림픽공원역</t>
  </si>
  <si>
    <t>방이</t>
  </si>
  <si>
    <t>방이역</t>
  </si>
  <si>
    <t>개롱</t>
  </si>
  <si>
    <t>개롱역</t>
  </si>
  <si>
    <t>거여</t>
  </si>
  <si>
    <t>거여역</t>
  </si>
  <si>
    <t>마천</t>
  </si>
  <si>
    <t>마천역</t>
  </si>
  <si>
    <t>응암</t>
  </si>
  <si>
    <t>응암역</t>
  </si>
  <si>
    <t>6</t>
  </si>
  <si>
    <t>6:main</t>
  </si>
  <si>
    <t>역촌</t>
  </si>
  <si>
    <t>역촌역</t>
  </si>
  <si>
    <t>독바위</t>
  </si>
  <si>
    <t>독바위역</t>
  </si>
  <si>
    <t>구산</t>
  </si>
  <si>
    <t>구산역</t>
  </si>
  <si>
    <t>새절</t>
  </si>
  <si>
    <t>새절역</t>
  </si>
  <si>
    <t>증산</t>
  </si>
  <si>
    <t>증산역</t>
  </si>
  <si>
    <t>디지털미디어시티</t>
  </si>
  <si>
    <t>디지털미디어시티역</t>
  </si>
  <si>
    <t>월드컵경기장</t>
  </si>
  <si>
    <t>월드컵경기장역</t>
  </si>
  <si>
    <t>월드컵경기장(성산)</t>
  </si>
  <si>
    <t>마포구청</t>
  </si>
  <si>
    <t>마포구청역</t>
  </si>
  <si>
    <t>망원</t>
  </si>
  <si>
    <t>망원역</t>
  </si>
  <si>
    <t>상수</t>
  </si>
  <si>
    <t>상수역</t>
  </si>
  <si>
    <t>광흥창</t>
  </si>
  <si>
    <t>광흥창역</t>
  </si>
  <si>
    <t>대흥</t>
  </si>
  <si>
    <t>대흥역</t>
  </si>
  <si>
    <t>효창공원앞</t>
  </si>
  <si>
    <t>효창공원앞역</t>
  </si>
  <si>
    <t>녹사평</t>
  </si>
  <si>
    <t>녹사평역</t>
  </si>
  <si>
    <t>이태원</t>
  </si>
  <si>
    <t>이태원역</t>
  </si>
  <si>
    <t>한강진</t>
  </si>
  <si>
    <t>한강진역</t>
  </si>
  <si>
    <t>버티고개</t>
  </si>
  <si>
    <t>버티고개역</t>
  </si>
  <si>
    <t>창신</t>
  </si>
  <si>
    <t>창신역</t>
  </si>
  <si>
    <t>보문</t>
  </si>
  <si>
    <t>보문역</t>
  </si>
  <si>
    <t>안암</t>
  </si>
  <si>
    <t>안암역</t>
  </si>
  <si>
    <t>안암(고대병원앞)</t>
  </si>
  <si>
    <t>고려대</t>
  </si>
  <si>
    <t>고려대역</t>
  </si>
  <si>
    <t>고려대(종암)</t>
  </si>
  <si>
    <t>월곡</t>
  </si>
  <si>
    <t>월곡역</t>
  </si>
  <si>
    <t>상월곡</t>
  </si>
  <si>
    <t>상월곡역</t>
  </si>
  <si>
    <t>돌곶이</t>
  </si>
  <si>
    <t>돌곶이역</t>
  </si>
  <si>
    <t>석계</t>
  </si>
  <si>
    <t>석계역</t>
  </si>
  <si>
    <t>태릉입구</t>
  </si>
  <si>
    <t>태릉입구역</t>
  </si>
  <si>
    <t>6,7</t>
  </si>
  <si>
    <t>6:main;7:main</t>
  </si>
  <si>
    <t>화랑대</t>
  </si>
  <si>
    <t>화랑대역</t>
  </si>
  <si>
    <t>봉화산</t>
  </si>
  <si>
    <t>봉화산역</t>
  </si>
  <si>
    <t>신내</t>
  </si>
  <si>
    <t>신내역</t>
  </si>
  <si>
    <t>장암</t>
  </si>
  <si>
    <t>장암역</t>
  </si>
  <si>
    <t>7</t>
  </si>
  <si>
    <t>7:main</t>
  </si>
  <si>
    <t>도봉산</t>
  </si>
  <si>
    <t>도봉산역</t>
  </si>
  <si>
    <t>수락산</t>
  </si>
  <si>
    <t>수락산역</t>
  </si>
  <si>
    <t>마들</t>
  </si>
  <si>
    <t>마들역</t>
  </si>
  <si>
    <t>중계</t>
  </si>
  <si>
    <t>중계역</t>
  </si>
  <si>
    <t>하계</t>
  </si>
  <si>
    <t>하계역</t>
  </si>
  <si>
    <t>공릉</t>
  </si>
  <si>
    <t>공릉역</t>
  </si>
  <si>
    <t>먹골</t>
  </si>
  <si>
    <t>먹골역</t>
  </si>
  <si>
    <t>중화</t>
  </si>
  <si>
    <t>중화역</t>
  </si>
  <si>
    <t>상봉</t>
  </si>
  <si>
    <t>상봉역</t>
  </si>
  <si>
    <t>면목</t>
  </si>
  <si>
    <t>면목역</t>
  </si>
  <si>
    <t>사가정</t>
  </si>
  <si>
    <t>사가정역</t>
  </si>
  <si>
    <t>용마산</t>
  </si>
  <si>
    <t>용마산역</t>
  </si>
  <si>
    <t>중곡</t>
  </si>
  <si>
    <t>중곡역</t>
  </si>
  <si>
    <t>어린이대공원</t>
  </si>
  <si>
    <t>어린이대공원역</t>
  </si>
  <si>
    <t>자양</t>
  </si>
  <si>
    <t>청담</t>
  </si>
  <si>
    <t>청담역</t>
  </si>
  <si>
    <t>강남구청</t>
  </si>
  <si>
    <t>강남구청역</t>
  </si>
  <si>
    <t>학동</t>
  </si>
  <si>
    <t>학동역</t>
  </si>
  <si>
    <t>논현</t>
  </si>
  <si>
    <t>논현역</t>
  </si>
  <si>
    <t>반포</t>
  </si>
  <si>
    <t>반포역</t>
  </si>
  <si>
    <t>내방</t>
  </si>
  <si>
    <t>내방역</t>
  </si>
  <si>
    <t>남성</t>
  </si>
  <si>
    <t>남성역</t>
  </si>
  <si>
    <t>숭실대입구</t>
  </si>
  <si>
    <t>숭실대입구역</t>
  </si>
  <si>
    <t>상도</t>
  </si>
  <si>
    <t>상도역</t>
  </si>
  <si>
    <t>장승배기</t>
  </si>
  <si>
    <t>장승배기역</t>
  </si>
  <si>
    <t>신대방삼거리</t>
  </si>
  <si>
    <t>신대방삼거리역</t>
  </si>
  <si>
    <t>보라매</t>
  </si>
  <si>
    <t>보라매역</t>
  </si>
  <si>
    <t>신풍</t>
  </si>
  <si>
    <t>신풍역</t>
  </si>
  <si>
    <t>남구로</t>
  </si>
  <si>
    <t>남구로역</t>
  </si>
  <si>
    <t>가산디지털단지</t>
  </si>
  <si>
    <t>가산디지털단지역</t>
  </si>
  <si>
    <t>철산</t>
  </si>
  <si>
    <t>철산역</t>
  </si>
  <si>
    <t>광명사거리</t>
  </si>
  <si>
    <t>광명사거리역</t>
  </si>
  <si>
    <t>천왕</t>
  </si>
  <si>
    <t>천왕역</t>
  </si>
  <si>
    <t>온수</t>
  </si>
  <si>
    <t>온수역</t>
  </si>
  <si>
    <t>암사역사공원</t>
  </si>
  <si>
    <t>암사역사공원역</t>
  </si>
  <si>
    <t>8</t>
  </si>
  <si>
    <t>8:main</t>
  </si>
  <si>
    <t>암사</t>
  </si>
  <si>
    <t>암사역</t>
  </si>
  <si>
    <t>강동구청</t>
  </si>
  <si>
    <t>강동구청역</t>
  </si>
  <si>
    <t>몽촌토성</t>
  </si>
  <si>
    <t>몽촌토성역</t>
  </si>
  <si>
    <t>석촌</t>
  </si>
  <si>
    <t>석촌역</t>
  </si>
  <si>
    <t>송파</t>
  </si>
  <si>
    <t>송파역</t>
  </si>
  <si>
    <t>문정</t>
  </si>
  <si>
    <t>문정역</t>
  </si>
  <si>
    <t>장지</t>
  </si>
  <si>
    <t>장지역</t>
  </si>
  <si>
    <t>복정</t>
  </si>
  <si>
    <t>복정역</t>
  </si>
  <si>
    <t>남위례</t>
  </si>
  <si>
    <t>남위례역</t>
  </si>
  <si>
    <t>산성</t>
  </si>
  <si>
    <t>산성역</t>
  </si>
  <si>
    <t>남한산성입구</t>
  </si>
  <si>
    <t>남한산성입구역</t>
  </si>
  <si>
    <t>단대오거리</t>
  </si>
  <si>
    <t>단대오거리역</t>
  </si>
  <si>
    <t>신흥</t>
  </si>
  <si>
    <t>신흥역</t>
  </si>
  <si>
    <t>수진</t>
  </si>
  <si>
    <t>수진역</t>
  </si>
  <si>
    <t>모란</t>
  </si>
  <si>
    <t>모란역</t>
  </si>
  <si>
    <t>mark_status</t>
  </si>
  <si>
    <t>visual_node_no</t>
  </si>
  <si>
    <t>visual_node_id</t>
  </si>
  <si>
    <t>line_id</t>
  </si>
  <si>
    <t>branch_codes</t>
  </si>
  <si>
    <t>x_px</t>
  </si>
  <si>
    <t>y_px</t>
  </si>
  <si>
    <t>x_pct</t>
  </si>
  <si>
    <t>y_pct</t>
  </si>
  <si>
    <t>marker_radius_px</t>
  </si>
  <si>
    <t>is_branch_node</t>
  </si>
  <si>
    <t>label_owner</t>
  </si>
  <si>
    <t>서울역_L1</t>
  </si>
  <si>
    <t>main</t>
  </si>
  <si>
    <t>시청_L1</t>
  </si>
  <si>
    <t>종각_L1</t>
  </si>
  <si>
    <t>종로3가_L1</t>
  </si>
  <si>
    <t>종로5가_L1</t>
  </si>
  <si>
    <t>동대문_L1</t>
  </si>
  <si>
    <t>동묘앞_L1</t>
  </si>
  <si>
    <t>신설동_L1</t>
  </si>
  <si>
    <t>제기동_L1</t>
  </si>
  <si>
    <t>청량리_L1</t>
  </si>
  <si>
    <t>시청_L2</t>
  </si>
  <si>
    <t>신설동_L2</t>
  </si>
  <si>
    <t>seongsu_branch</t>
  </si>
  <si>
    <t>을지로입구_L2</t>
  </si>
  <si>
    <t>을지로3가_L2</t>
  </si>
  <si>
    <t>을지로4가_L2</t>
  </si>
  <si>
    <t>동대문역사문화공원_L2</t>
  </si>
  <si>
    <t>신당_L2</t>
  </si>
  <si>
    <t>상왕십리_L2</t>
  </si>
  <si>
    <t>왕십리_L2</t>
  </si>
  <si>
    <t>한양대_L2</t>
  </si>
  <si>
    <t>뚝섬_L2</t>
  </si>
  <si>
    <t>성수_L2</t>
  </si>
  <si>
    <t>main;seongsu_branch</t>
  </si>
  <si>
    <t>건대입구_L2</t>
  </si>
  <si>
    <t>구의_L2</t>
  </si>
  <si>
    <t>강변_L2</t>
  </si>
  <si>
    <t>잠실나루_L2</t>
  </si>
  <si>
    <t>잠실_L2</t>
  </si>
  <si>
    <t>잠실새내_L2</t>
  </si>
  <si>
    <t>종합운동장_L2</t>
  </si>
  <si>
    <t>삼성_L2</t>
  </si>
  <si>
    <t>선릉_L2</t>
  </si>
  <si>
    <t>역삼_L2</t>
  </si>
  <si>
    <t>강남_L2</t>
  </si>
  <si>
    <t>교대_L2</t>
  </si>
  <si>
    <t>서초_L2</t>
  </si>
  <si>
    <t>방배_L2</t>
  </si>
  <si>
    <t>사당_L2</t>
  </si>
  <si>
    <t>낙성대_L2</t>
  </si>
  <si>
    <t>서울대입구_L2</t>
  </si>
  <si>
    <t>봉천_L2</t>
  </si>
  <si>
    <t>신림_L2</t>
  </si>
  <si>
    <t>신대방_L2</t>
  </si>
  <si>
    <t>구로디지털단지_L2</t>
  </si>
  <si>
    <t>대림_L2</t>
  </si>
  <si>
    <t>신도림_L2</t>
  </si>
  <si>
    <t>main;sinjeong_branch</t>
  </si>
  <si>
    <t>문래_L2</t>
  </si>
  <si>
    <t>영등포구청_L2</t>
  </si>
  <si>
    <t>당산_L2</t>
  </si>
  <si>
    <t>합정_L2</t>
  </si>
  <si>
    <t>홍대입구_L2</t>
  </si>
  <si>
    <t>신촌_L2</t>
  </si>
  <si>
    <t>이대_L2</t>
  </si>
  <si>
    <t>아현_L2</t>
  </si>
  <si>
    <t>충정로_L2</t>
  </si>
  <si>
    <t>용답_L2</t>
  </si>
  <si>
    <t>신답_L2</t>
  </si>
  <si>
    <t>용두_L2</t>
  </si>
  <si>
    <t>도림천_L2</t>
  </si>
  <si>
    <t>sinjeong_branch</t>
  </si>
  <si>
    <t>양천구청_L2</t>
  </si>
  <si>
    <t>신정네거리_L2</t>
  </si>
  <si>
    <t>까치산_L2</t>
  </si>
  <si>
    <t>종로3가_L3</t>
  </si>
  <si>
    <t>을지로3가_L3</t>
  </si>
  <si>
    <t>교대_L3</t>
  </si>
  <si>
    <t>지축_L3</t>
  </si>
  <si>
    <t>구파발_L3</t>
  </si>
  <si>
    <t>연신내_L3</t>
  </si>
  <si>
    <t>불광_L3</t>
  </si>
  <si>
    <t>녹번_L3</t>
  </si>
  <si>
    <t>홍제_L3</t>
  </si>
  <si>
    <t>무악재_L3</t>
  </si>
  <si>
    <t>독립문_L3</t>
  </si>
  <si>
    <t>경복궁_L3</t>
  </si>
  <si>
    <t>안국_L3</t>
  </si>
  <si>
    <t>충무로_L3</t>
  </si>
  <si>
    <t>동대입구_L3</t>
  </si>
  <si>
    <t>약수_L3</t>
  </si>
  <si>
    <t>금호_L3</t>
  </si>
  <si>
    <t>옥수_L3</t>
  </si>
  <si>
    <t>압구정_L3</t>
  </si>
  <si>
    <t>신사_L3</t>
  </si>
  <si>
    <t>잠원_L3</t>
  </si>
  <si>
    <t>고속터미널_L3</t>
  </si>
  <si>
    <t>남부터미널_L3</t>
  </si>
  <si>
    <t>양재_L3</t>
  </si>
  <si>
    <t>매봉_L3</t>
  </si>
  <si>
    <t>도곡_L3</t>
  </si>
  <si>
    <t>대치_L3</t>
  </si>
  <si>
    <t>학여울_L3</t>
  </si>
  <si>
    <t>대청_L3</t>
  </si>
  <si>
    <t>일원_L3</t>
  </si>
  <si>
    <t>수서_L3</t>
  </si>
  <si>
    <t>가락시장_L3</t>
  </si>
  <si>
    <t>경찰병원_L3</t>
  </si>
  <si>
    <t>오금_L3</t>
  </si>
  <si>
    <t>서울역_L4</t>
  </si>
  <si>
    <t>동대문_L4</t>
  </si>
  <si>
    <t>동대문역사문화공원_L4</t>
  </si>
  <si>
    <t>사당_L4</t>
  </si>
  <si>
    <t>충무로_L4</t>
  </si>
  <si>
    <t>불암산_L4</t>
  </si>
  <si>
    <t>상계_L4</t>
  </si>
  <si>
    <t>노원_L4</t>
  </si>
  <si>
    <t>창동_L4</t>
  </si>
  <si>
    <t>쌍문_L4</t>
  </si>
  <si>
    <t>수유_L4</t>
  </si>
  <si>
    <t>미아_L4</t>
  </si>
  <si>
    <t>미아사거리_L4</t>
  </si>
  <si>
    <t>길음_L4</t>
  </si>
  <si>
    <t>성신여대입구_L4</t>
  </si>
  <si>
    <t>한성대입구_L4</t>
  </si>
  <si>
    <t>혜화_L4</t>
  </si>
  <si>
    <t>명동_L4</t>
  </si>
  <si>
    <t>회현_L4</t>
  </si>
  <si>
    <t>숙대입구_L4</t>
  </si>
  <si>
    <t>삼각지_L4</t>
  </si>
  <si>
    <t>신용산_L4</t>
  </si>
  <si>
    <t>이촌_L4</t>
  </si>
  <si>
    <t>동작_L4</t>
  </si>
  <si>
    <t>이수_L4</t>
  </si>
  <si>
    <t>남태령_L4</t>
  </si>
  <si>
    <t>종로3가_L5</t>
  </si>
  <si>
    <t>common</t>
  </si>
  <si>
    <t>을지로4가_L5</t>
  </si>
  <si>
    <t>동대문역사문화공원_L5</t>
  </si>
  <si>
    <t>왕십리_L5</t>
  </si>
  <si>
    <t>영등포구청_L5</t>
  </si>
  <si>
    <t>충정로_L5</t>
  </si>
  <si>
    <t>까치산_L5</t>
  </si>
  <si>
    <t>오금_L5</t>
  </si>
  <si>
    <t>macheon_branch</t>
  </si>
  <si>
    <t>방화_L5</t>
  </si>
  <si>
    <t>개화산_L5</t>
  </si>
  <si>
    <t>김포공항_L5</t>
  </si>
  <si>
    <t>송정_L5</t>
  </si>
  <si>
    <t>마곡_L5</t>
  </si>
  <si>
    <t>발산_L5</t>
  </si>
  <si>
    <t>우장산_L5</t>
  </si>
  <si>
    <t>화곡_L5</t>
  </si>
  <si>
    <t>신정_L5</t>
  </si>
  <si>
    <t>목동_L5</t>
  </si>
  <si>
    <t>오목교_L5</t>
  </si>
  <si>
    <t>양평_L5</t>
  </si>
  <si>
    <t>영등포시장_L5</t>
  </si>
  <si>
    <t>신길_L5</t>
  </si>
  <si>
    <t>여의도_L5</t>
  </si>
  <si>
    <t>여의나루_L5</t>
  </si>
  <si>
    <t>마포_L5</t>
  </si>
  <si>
    <t>공덕_L5</t>
  </si>
  <si>
    <t>애오개_L5</t>
  </si>
  <si>
    <t>서대문_L5</t>
  </si>
  <si>
    <t>광화문_L5</t>
  </si>
  <si>
    <t>청구_L5</t>
  </si>
  <si>
    <t>신금호_L5</t>
  </si>
  <si>
    <t>행당_L5</t>
  </si>
  <si>
    <t>마장_L5</t>
  </si>
  <si>
    <t>답십리_L5</t>
  </si>
  <si>
    <t>장한평_L5</t>
  </si>
  <si>
    <t>군자_L5</t>
  </si>
  <si>
    <t>아차산_L5</t>
  </si>
  <si>
    <t>광나루_L5</t>
  </si>
  <si>
    <t>천호_L5</t>
  </si>
  <si>
    <t>강동_L5</t>
  </si>
  <si>
    <t>common;hanam_branch;macheon_branch</t>
  </si>
  <si>
    <t>길동_L5</t>
  </si>
  <si>
    <t>hanam_branch</t>
  </si>
  <si>
    <t>굽은다리_L5</t>
  </si>
  <si>
    <t>명일_L5</t>
  </si>
  <si>
    <t>고덕_L5</t>
  </si>
  <si>
    <t>상일동_L5</t>
  </si>
  <si>
    <t>강일_L5</t>
  </si>
  <si>
    <t>미사_L5</t>
  </si>
  <si>
    <t>하남풍산_L5</t>
  </si>
  <si>
    <t>하남시청_L5</t>
  </si>
  <si>
    <t>하남검단산_L5</t>
  </si>
  <si>
    <t>둔촌동_L5</t>
  </si>
  <si>
    <t>올림픽공원_L5</t>
  </si>
  <si>
    <t>방이_L5</t>
  </si>
  <si>
    <t>개롱_L5</t>
  </si>
  <si>
    <t>거여_L5</t>
  </si>
  <si>
    <t>마천_L5</t>
  </si>
  <si>
    <t>동묘앞_L6</t>
  </si>
  <si>
    <t>신당_L6</t>
  </si>
  <si>
    <t>합정_L6</t>
  </si>
  <si>
    <t>연신내_L6</t>
  </si>
  <si>
    <t>불광_L6</t>
  </si>
  <si>
    <t>약수_L6</t>
  </si>
  <si>
    <t>삼각지_L6</t>
  </si>
  <si>
    <t>공덕_L6</t>
  </si>
  <si>
    <t>청구_L6</t>
  </si>
  <si>
    <t>응암_L6</t>
  </si>
  <si>
    <t>역촌_L6</t>
  </si>
  <si>
    <t>독바위_L6</t>
  </si>
  <si>
    <t>구산_L6</t>
  </si>
  <si>
    <t>새절_L6</t>
  </si>
  <si>
    <t>증산_L6</t>
  </si>
  <si>
    <t>디지털미디어시티_L6</t>
  </si>
  <si>
    <t>월드컵경기장_L6</t>
  </si>
  <si>
    <t>마포구청_L6</t>
  </si>
  <si>
    <t>망원_L6</t>
  </si>
  <si>
    <t>상수_L6</t>
  </si>
  <si>
    <t>광흥창_L6</t>
  </si>
  <si>
    <t>대흥_L6</t>
  </si>
  <si>
    <t>효창공원앞_L6</t>
  </si>
  <si>
    <t>녹사평_L6</t>
  </si>
  <si>
    <t>이태원_L6</t>
  </si>
  <si>
    <t>한강진_L6</t>
  </si>
  <si>
    <t>버티고개_L6</t>
  </si>
  <si>
    <t>창신_L6</t>
  </si>
  <si>
    <t>보문_L6</t>
  </si>
  <si>
    <t>안암_L6</t>
  </si>
  <si>
    <t>고려대_L6</t>
  </si>
  <si>
    <t>월곡_L6</t>
  </si>
  <si>
    <t>상월곡_L6</t>
  </si>
  <si>
    <t>돌곶이_L6</t>
  </si>
  <si>
    <t>석계_L6</t>
  </si>
  <si>
    <t>태릉입구_L6</t>
  </si>
  <si>
    <t>화랑대_L6</t>
  </si>
  <si>
    <t>봉화산_L6</t>
  </si>
  <si>
    <t>신내_L6</t>
  </si>
  <si>
    <t>건대입구_L7</t>
  </si>
  <si>
    <t>대림_L7</t>
  </si>
  <si>
    <t>고속터미널_L7</t>
  </si>
  <si>
    <t>노원_L7</t>
  </si>
  <si>
    <t>이수_L7</t>
  </si>
  <si>
    <t>군자_L7</t>
  </si>
  <si>
    <t>태릉입구_L7</t>
  </si>
  <si>
    <t>장암_L7</t>
  </si>
  <si>
    <t>도봉산_L7</t>
  </si>
  <si>
    <t>수락산_L7</t>
  </si>
  <si>
    <t>마들_L7</t>
  </si>
  <si>
    <t>중계_L7</t>
  </si>
  <si>
    <t>하계_L7</t>
  </si>
  <si>
    <t>공릉_L7</t>
  </si>
  <si>
    <t>먹골_L7</t>
  </si>
  <si>
    <t>중화_L7</t>
  </si>
  <si>
    <t>상봉_L7</t>
  </si>
  <si>
    <t>면목_L7</t>
  </si>
  <si>
    <t>사가정_L7</t>
  </si>
  <si>
    <t>용마산_L7</t>
  </si>
  <si>
    <t>중곡_L7</t>
  </si>
  <si>
    <t>어린이대공원_L7</t>
  </si>
  <si>
    <t>청담_L7</t>
  </si>
  <si>
    <t>강남구청_L7</t>
  </si>
  <si>
    <t>학동_L7</t>
  </si>
  <si>
    <t>논현_L7</t>
  </si>
  <si>
    <t>반포_L7</t>
  </si>
  <si>
    <t>내방_L7</t>
  </si>
  <si>
    <t>남성_L7</t>
  </si>
  <si>
    <t>숭실대입구_L7</t>
  </si>
  <si>
    <t>상도_L7</t>
  </si>
  <si>
    <t>장승배기_L7</t>
  </si>
  <si>
    <t>신대방삼거리_L7</t>
  </si>
  <si>
    <t>보라매_L7</t>
  </si>
  <si>
    <t>신풍_L7</t>
  </si>
  <si>
    <t>남구로_L7</t>
  </si>
  <si>
    <t>가산디지털단지_L7</t>
  </si>
  <si>
    <t>철산_L7</t>
  </si>
  <si>
    <t>광명사거리_L7</t>
  </si>
  <si>
    <t>천왕_L7</t>
  </si>
  <si>
    <t>온수_L7</t>
  </si>
  <si>
    <t>잠실_L8</t>
  </si>
  <si>
    <t>가락시장_L8</t>
  </si>
  <si>
    <t>천호_L8</t>
  </si>
  <si>
    <t>암사역사공원_L8</t>
  </si>
  <si>
    <t>암사_L8</t>
  </si>
  <si>
    <t>강동구청_L8</t>
  </si>
  <si>
    <t>몽촌토성_L8</t>
  </si>
  <si>
    <t>석촌_L8</t>
  </si>
  <si>
    <t>송파_L8</t>
  </si>
  <si>
    <t>문정_L8</t>
  </si>
  <si>
    <t>장지_L8</t>
  </si>
  <si>
    <t>복정_L8</t>
  </si>
  <si>
    <t>남위례_L8</t>
  </si>
  <si>
    <t>산성_L8</t>
  </si>
  <si>
    <t>남한산성입구_L8</t>
  </si>
  <si>
    <t>단대오거리_L8</t>
  </si>
  <si>
    <t>신흥_L8</t>
  </si>
  <si>
    <t>수진_L8</t>
  </si>
  <si>
    <t>모란_L8</t>
  </si>
  <si>
    <t>click_x_px</t>
  </si>
  <si>
    <t>click_y_px</t>
  </si>
  <si>
    <t>click_x_pct</t>
  </si>
  <si>
    <t>click_y_pct</t>
  </si>
  <si>
    <t>click_radius_px</t>
  </si>
  <si>
    <t>click_shape</t>
  </si>
  <si>
    <t>source_method</t>
  </si>
  <si>
    <t>manual_override_note</t>
  </si>
  <si>
    <t>circle</t>
  </si>
  <si>
    <t>auto_from_visual_nodes_avg</t>
  </si>
  <si>
    <t>label_x_px</t>
  </si>
  <si>
    <t>label_y_px</t>
  </si>
  <si>
    <t>label_x_pct</t>
  </si>
  <si>
    <t>label_y_pct</t>
  </si>
  <si>
    <t>label_size_px</t>
  </si>
  <si>
    <t>label_weight</t>
  </si>
  <si>
    <t>label_anchor</t>
  </si>
  <si>
    <t>label_rotation</t>
  </si>
  <si>
    <t>bold</t>
  </si>
  <si>
    <t>center</t>
  </si>
  <si>
    <t>default_from_click_area</t>
  </si>
  <si>
    <t>normal</t>
  </si>
  <si>
    <t>branch_code</t>
  </si>
  <si>
    <t>path_order</t>
  </si>
  <si>
    <t>is_branch_endpoint</t>
  </si>
  <si>
    <t>from_line_id</t>
  </si>
  <si>
    <t>to_line_id</t>
  </si>
  <si>
    <t>from_visual_node_id</t>
  </si>
  <si>
    <t>to_visual_node_id</t>
  </si>
  <si>
    <t>transfer_style</t>
  </si>
  <si>
    <t>connector_visible</t>
  </si>
  <si>
    <t>connector_color</t>
  </si>
  <si>
    <t>connector</t>
  </si>
  <si>
    <t>#9CA3AF</t>
  </si>
  <si>
    <t>지도 렌더링용 환승 연결선; 실제 환승 시간/거리 평가는 별도 환승 데이터 사용</t>
  </si>
  <si>
    <t>layer_order</t>
  </si>
  <si>
    <t>layer_name</t>
  </si>
  <si>
    <t>source_sheet</t>
  </si>
  <si>
    <t>render_object</t>
  </si>
  <si>
    <t>line_paths</t>
  </si>
  <si>
    <t>Line_Sequences + Station_Visual_Nodes</t>
  </si>
  <si>
    <t>polyline/path</t>
  </si>
  <si>
    <t>노선별 visual_node_id 좌표를 path_order 순서로 연결</t>
  </si>
  <si>
    <t>transfer_connectors</t>
  </si>
  <si>
    <t>Transfer_Links</t>
  </si>
  <si>
    <t>line/path</t>
  </si>
  <si>
    <t>환승역의 노선별 visual node를 얇은 회색 연결선으로 연결</t>
  </si>
  <si>
    <t>station_markers</t>
  </si>
  <si>
    <t>Station_Visual_Nodes</t>
  </si>
  <si>
    <t>지도에 보이는 역 점. 환승역은 노선별로 여러 점 가능</t>
  </si>
  <si>
    <t>station_labels</t>
  </si>
  <si>
    <t>Station_Labels</t>
  </si>
  <si>
    <t>text</t>
  </si>
  <si>
    <t>역명 라벨. station_key 기준으로 역당 1개 권장</t>
  </si>
  <si>
    <t>route_highlight</t>
  </si>
  <si>
    <t>routing result</t>
  </si>
  <si>
    <t>path overlay</t>
  </si>
  <si>
    <t>추천 경로 구간만 굵게 강조</t>
  </si>
  <si>
    <t>origin_destination_highlight</t>
  </si>
  <si>
    <t>session_state</t>
  </si>
  <si>
    <t>halo/circle</t>
  </si>
  <si>
    <t>출발역/도착역 강조</t>
  </si>
  <si>
    <t>click_hitboxes</t>
  </si>
  <si>
    <t>Station_Click_Areas</t>
  </si>
  <si>
    <t>transparent circle</t>
  </si>
  <si>
    <t>사용자 클릭 판정. 보이는 점보다 큰 투명 영역</t>
  </si>
  <si>
    <t>start_station</t>
  </si>
  <si>
    <t>end_station</t>
  </si>
  <si>
    <t>project_range</t>
  </si>
  <si>
    <t>서울역~청량리역</t>
  </si>
  <si>
    <t>서울교통공사 1호선 도심 구간</t>
  </si>
  <si>
    <t>전구간</t>
  </si>
  <si>
    <t>순환선 전구간</t>
  </si>
  <si>
    <t>성수지선·신정지선은 별도 branch row로 관리</t>
  </si>
  <si>
    <t>성수~신설동</t>
  </si>
  <si>
    <t>성수지선</t>
  </si>
  <si>
    <t>신도림~까치산</t>
  </si>
  <si>
    <t>신정지선</t>
  </si>
  <si>
    <t>지축역~오금역</t>
  </si>
  <si>
    <t>불암산역~남태령역</t>
  </si>
  <si>
    <t>불암산=구 당고개</t>
  </si>
  <si>
    <t>방화역~강동역</t>
  </si>
  <si>
    <t>하남/마천 분기 전 공통 구간</t>
  </si>
  <si>
    <t>강동역~하남검단산역</t>
  </si>
  <si>
    <t>강동역~마천역</t>
  </si>
  <si>
    <t>응암역~신내역</t>
  </si>
  <si>
    <t>응암순환 구조는 노선도/라우팅에서 별도 주의</t>
  </si>
  <si>
    <t>장암역~온수역</t>
  </si>
  <si>
    <t>암사역사공원역~모란역</t>
  </si>
  <si>
    <t>남위례 포함</t>
  </si>
  <si>
    <t>이 파일은 MetroCalm 벡터형 클릭 노선도 제작용 좌표 워크북입니다.</t>
  </si>
  <si>
    <t>핵심 구조: Station_Display_Master=사용자 선택용 역 단위, Station_Visual_Nodes=노선별 지도 렌더링 좌표, Station_Click_Areas=투명 클릭 hitbox, Station_Labels=역명 좌표, Line_Sequences=노선 연결 순서, Transfer_Links=환승 연결선.</t>
  </si>
  <si>
    <t>Station_Visual_Nodes의 x_px, y_px가 최우선 수작업 입력 대상입니다. 환승역은 노선별 visual_node_id 좌표를 분리해서 선이 겹치지 않게 합니다.</t>
  </si>
  <si>
    <t>Station_Click_Areas는 visual node 평균 좌표로 자동 생성되며, 복잡한 환승역만 click_x_px, click_y_px, click_radius_px를 수동 보정합니다. 클릭 영역은 보이지 않는 투명 원으로 최상단에 둡니다.</t>
  </si>
  <si>
    <t>Station_Labels는 station_key 기준으로 역명을 한 번만 표시합니다. label 좌표는 자동값을 시작점으로 쓰고, 겹치는 역명만 수동 보정합니다.</t>
  </si>
  <si>
    <t>사용자 클릭/입력은 station_key 기준입니다. 지도 렌더링은 visual_node_id 기준입니다. 내부 라우팅은 기존 station_uid 기준입니다. 사용자 화면에 station_uid와 visual_node_id를 노출하지 않습니다.</t>
  </si>
  <si>
    <t>SVG로 만들 경우 viewBox="0 0 4900 2757"을 기본 좌표계로 사용하고, x_px/y_px를 그대로 circle/path/text 좌표로 사용합니다. 이미지 크기 변경 시 Config 값을 기준으로 pct 좌표를 재계산합니다.</t>
  </si>
  <si>
    <t>Line_Sequences는 visual_node_id를 path_order 순서로 이어 노선 path를 만듭니다. Transfer_Links는 같은 station_key의 서로 다른 line visual node를 얇은 connector로 연결합니다.</t>
  </si>
  <si>
    <t>추천 경로가 나오면 station_uid path를 station_key/visual_node_id path로 변환하고, 해당 Line_Sequences segment를 굵은 overlay로 highlight합니다.</t>
  </si>
  <si>
    <t>서울역→강남역 regression test: 서울역은 1호선/4호선 후보를 모두 비교하며, 최초 노선 선택은 환승으로 계산하지 않습니다.</t>
  </si>
  <si>
    <t>source_name</t>
  </si>
  <si>
    <t>url</t>
  </si>
  <si>
    <t>usage_note</t>
  </si>
  <si>
    <t>서울교통공사_자치구별지하철역정보</t>
  </si>
  <si>
    <t>https://www.data.go.kr/data/15081868/fileData.do</t>
  </si>
  <si>
    <t>서울교통공사 관리 역 정보의 공식 공공데이터. 역명/호선 검증 참고.</t>
  </si>
  <si>
    <t>서울교통공사_역간거리</t>
  </si>
  <si>
    <t>https://data.seoul.go.kr/dataList/OA-12034/S/1/datasetView.do</t>
  </si>
  <si>
    <t>서울교통공사 1~8호선 역간 거리 및 소요시간 데이터. 노선 순서/연결 검증 참고.</t>
  </si>
  <si>
    <t>사용자 지정 프로젝트 범위</t>
  </si>
  <si>
    <t>현재 대화에서 사용자가 제공한 프로젝트 구간</t>
  </si>
  <si>
    <t>본 워크북은 사용자가 제공한 MetroCalm 프로젝트 범위에 맞춰 역 목록을 정리함.</t>
  </si>
  <si>
    <t>workbook_basis</t>
  </si>
  <si>
    <t>previous metrocalm_project_station_click_points.xlsx</t>
  </si>
  <si>
    <t>프로젝트 구간 역 목록과 Line_Sequences를 기반으로 재구성</t>
  </si>
  <si>
    <t>coordinate_image_basis</t>
  </si>
  <si>
    <t>user-provided 4900x2757 subway map reference</t>
  </si>
  <si>
    <t>좌표 입력 기준 이미지 크기</t>
  </si>
  <si>
    <r>
      <rPr>
        <sz val="11"/>
        <color rgb="FF111827"/>
        <rFont val="맑은 고딕"/>
        <family val="2"/>
        <charset val="129"/>
      </rPr>
      <t>자양</t>
    </r>
    <r>
      <rPr>
        <sz val="11"/>
        <color rgb="FF111827"/>
        <rFont val="Arial"/>
        <family val="2"/>
      </rPr>
      <t>_L7</t>
    </r>
    <phoneticPr fontId="8" type="noConversion"/>
  </si>
  <si>
    <t>자양</t>
    <phoneticPr fontId="8" type="noConversion"/>
  </si>
  <si>
    <t>자양역</t>
  </si>
  <si>
    <t>자양역</t>
    <phoneticPr fontId="8" type="noConversion"/>
  </si>
  <si>
    <t>자양_L7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</si>
</sst>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3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111827"/>
      <name val="Carlito"/>
    </font>
    <font>
      <b/>
      <sz val="10"/>
      <color rgb="FFFFFFFF"/>
      <name val="Carlito"/>
    </font>
    <font>
      <sz val="10"/>
      <name val="Carlito"/>
    </font>
    <font>
      <sz val="11"/>
      <name val="Carlito"/>
    </font>
    <font>
      <sz val="8"/>
      <name val="돋움"/>
      <family val="3"/>
      <charset val="129"/>
    </font>
    <font>
      <sz val="11"/>
      <color rgb="FF111827"/>
      <name val="맑은 고딕"/>
      <family val="3"/>
      <charset val="129"/>
    </font>
    <font>
      <sz val="11"/>
      <color rgb="FF111827"/>
      <name val="Arial"/>
      <family val="2"/>
    </font>
    <font>
      <sz val="11"/>
      <color rgb="FF111827"/>
      <name val="맑은 고딕"/>
      <family val="2"/>
      <charset val="129"/>
    </font>
    <font>
      <sz val="11"/>
      <color rgb="FF111827"/>
      <name val="Carlito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002D56"/>
      </patternFill>
    </fill>
    <fill>
      <patternFill patternType="solid">
        <fgColor rgb="FFE8EEF5"/>
      </patternFill>
    </fill>
    <fill>
      <patternFill patternType="solid">
        <fgColor rgb="FFFFF7ED"/>
      </patternFill>
    </fill>
    <fill>
      <patternFill patternType="solid">
        <fgColor rgb="FFC2410C"/>
      </patternFill>
    </fill>
    <fill>
      <patternFill patternType="solid">
        <fgColor rgb="FFFEF3C7"/>
      </patternFill>
    </fill>
    <fill>
      <patternFill patternType="solid">
        <fgColor rgb="FF8D7150"/>
      </patternFill>
    </fill>
    <fill>
      <patternFill patternType="solid">
        <fgColor rgb="FFE0F2FE"/>
      </patternFill>
    </fill>
    <fill>
      <patternFill patternType="solid">
        <fgColor rgb="FF0369A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2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4" fillId="4" borderId="0" xfId="1" applyFont="1" applyFill="1" applyAlignment="1">
      <alignment vertical="center" wrapText="1"/>
    </xf>
    <xf numFmtId="0" fontId="4" fillId="6" borderId="0" xfId="1" applyFont="1" applyFill="1" applyAlignment="1">
      <alignment vertical="center" wrapText="1"/>
    </xf>
    <xf numFmtId="0" fontId="4" fillId="8" borderId="0" xfId="1" applyFont="1" applyFill="1" applyAlignment="1">
      <alignment vertical="center" wrapText="1"/>
    </xf>
    <xf numFmtId="0" fontId="3" fillId="2" borderId="0" xfId="1" applyFont="1" applyFill="1" applyAlignment="1">
      <alignment horizontal="center"/>
    </xf>
    <xf numFmtId="176" fontId="4" fillId="0" borderId="0" xfId="1" applyNumberFormat="1" applyFont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0" fontId="6" fillId="0" borderId="0" xfId="1" applyFont="1"/>
    <xf numFmtId="0" fontId="5" fillId="5" borderId="0" xfId="1" applyFont="1" applyFill="1" applyAlignment="1">
      <alignment horizontal="center" vertical="center" wrapText="1"/>
    </xf>
    <xf numFmtId="0" fontId="5" fillId="7" borderId="0" xfId="1" applyFont="1" applyFill="1" applyAlignment="1">
      <alignment horizontal="center" vertical="center" wrapText="1"/>
    </xf>
    <xf numFmtId="0" fontId="5" fillId="9" borderId="0" xfId="1" applyFont="1" applyFill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1" fillId="2" borderId="0" xfId="1" applyFont="1" applyFill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6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2f2c7f1be702465a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Table" displayName="ConfigTable" ref="A1:C11" totalsRowShown="0">
  <tableColumns count="3">
    <tableColumn id="1" xr3:uid="{00000000-0010-0000-0000-000001000000}" name="parameter"/>
    <tableColumn id="2" xr3:uid="{00000000-0010-0000-0000-000002000000}" name="value"/>
    <tableColumn id="3" xr3:uid="{00000000-0010-0000-0000-000003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ionDisplayMasterTable" displayName="StationDisplayMasterTable" ref="A1:K241" totalsRowShown="0">
  <tableColumns count="11">
    <tableColumn id="1" xr3:uid="{00000000-0010-0000-0100-000001000000}" name="station_no"/>
    <tableColumn id="2" xr3:uid="{00000000-0010-0000-0100-000002000000}" name="station_key"/>
    <tableColumn id="3" xr3:uid="{00000000-0010-0000-0100-000003000000}" name="station_name"/>
    <tableColumn id="4" xr3:uid="{00000000-0010-0000-0100-000004000000}" name="display_name"/>
    <tableColumn id="5" xr3:uid="{00000000-0010-0000-0100-000005000000}" name="available_lines"/>
    <tableColumn id="6" xr3:uid="{00000000-0010-0000-0100-000006000000}" name="candidate_station_uids"/>
    <tableColumn id="7" xr3:uid="{00000000-0010-0000-0100-000007000000}" name="project_branches"/>
    <tableColumn id="8" xr3:uid="{00000000-0010-0000-0100-000008000000}" name="is_transfer_station"/>
    <tableColumn id="9" xr3:uid="{00000000-0010-0000-0100-000009000000}" name="is_event_station"/>
    <tableColumn id="10" xr3:uid="{00000000-0010-0000-0100-00000A000000}" name="alias_or_note"/>
    <tableColumn id="11" xr3:uid="{00000000-0010-0000-0100-00000B000000}" name="mem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tionVisualNodesTable" displayName="StationVisualNodesTable" ref="A1:R278" totalsRowShown="0">
  <tableColumns count="18">
    <tableColumn id="1" xr3:uid="{00000000-0010-0000-0200-000001000000}" name="mark_status"/>
    <tableColumn id="2" xr3:uid="{00000000-0010-0000-0200-000002000000}" name="visual_node_no"/>
    <tableColumn id="3" xr3:uid="{00000000-0010-0000-0200-000003000000}" name="visual_node_id"/>
    <tableColumn id="4" xr3:uid="{00000000-0010-0000-0200-000004000000}" name="station_key"/>
    <tableColumn id="5" xr3:uid="{00000000-0010-0000-0200-000005000000}" name="station_name"/>
    <tableColumn id="6" xr3:uid="{00000000-0010-0000-0200-000006000000}" name="display_name"/>
    <tableColumn id="7" xr3:uid="{00000000-0010-0000-0200-000007000000}" name="line_id"/>
    <tableColumn id="8" xr3:uid="{00000000-0010-0000-0200-000008000000}" name="branch_codes"/>
    <tableColumn id="9" xr3:uid="{00000000-0010-0000-0200-000009000000}" name="x_px"/>
    <tableColumn id="10" xr3:uid="{00000000-0010-0000-0200-00000A000000}" name="y_px"/>
    <tableColumn id="11" xr3:uid="{00000000-0010-0000-0200-00000B000000}" name="x_pct"/>
    <tableColumn id="12" xr3:uid="{00000000-0010-0000-0200-00000C000000}" name="y_pct"/>
    <tableColumn id="13" xr3:uid="{00000000-0010-0000-0200-00000D000000}" name="marker_radius_px"/>
    <tableColumn id="14" xr3:uid="{00000000-0010-0000-0200-00000E000000}" name="is_transfer_station"/>
    <tableColumn id="15" xr3:uid="{00000000-0010-0000-0200-00000F000000}" name="is_branch_node"/>
    <tableColumn id="16" xr3:uid="{00000000-0010-0000-0200-000010000000}" name="label_owner"/>
    <tableColumn id="17" xr3:uid="{00000000-0010-0000-0200-000011000000}" name="alias_or_note"/>
    <tableColumn id="18" xr3:uid="{00000000-0010-0000-0200-000012000000}" name="mem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tionClickAreasTable" displayName="StationClickAreasTable" ref="A1:M241" totalsRowShown="0">
  <tableColumns count="13">
    <tableColumn id="1" xr3:uid="{00000000-0010-0000-0300-000001000000}" name="mark_status"/>
    <tableColumn id="2" xr3:uid="{00000000-0010-0000-0300-000002000000}" name="station_key"/>
    <tableColumn id="3" xr3:uid="{00000000-0010-0000-0300-000003000000}" name="station_name"/>
    <tableColumn id="4" xr3:uid="{00000000-0010-0000-0300-000004000000}" name="display_name"/>
    <tableColumn id="5" xr3:uid="{00000000-0010-0000-0300-000005000000}" name="available_lines"/>
    <tableColumn id="6" xr3:uid="{00000000-0010-0000-0300-000006000000}" name="click_x_px"/>
    <tableColumn id="7" xr3:uid="{00000000-0010-0000-0300-000007000000}" name="click_y_px"/>
    <tableColumn id="8" xr3:uid="{00000000-0010-0000-0300-000008000000}" name="click_x_pct"/>
    <tableColumn id="9" xr3:uid="{00000000-0010-0000-0300-000009000000}" name="click_y_pct"/>
    <tableColumn id="10" xr3:uid="{00000000-0010-0000-0300-00000A000000}" name="click_radius_px"/>
    <tableColumn id="11" xr3:uid="{00000000-0010-0000-0300-00000B000000}" name="click_shape"/>
    <tableColumn id="12" xr3:uid="{00000000-0010-0000-0300-00000C000000}" name="source_method"/>
    <tableColumn id="13" xr3:uid="{00000000-0010-0000-0300-00000D000000}" name="manual_override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tionLabelsTable" displayName="StationLabelsTable" ref="A1:O241" totalsRowShown="0">
  <tableColumns count="15">
    <tableColumn id="1" xr3:uid="{00000000-0010-0000-0400-000001000000}" name="mark_status"/>
    <tableColumn id="2" xr3:uid="{00000000-0010-0000-0400-000002000000}" name="station_key"/>
    <tableColumn id="3" xr3:uid="{00000000-0010-0000-0400-000003000000}" name="station_name"/>
    <tableColumn id="4" xr3:uid="{00000000-0010-0000-0400-000004000000}" name="display_name"/>
    <tableColumn id="5" xr3:uid="{00000000-0010-0000-0400-000005000000}" name="available_lines"/>
    <tableColumn id="6" xr3:uid="{00000000-0010-0000-0400-000006000000}" name="label_x_px"/>
    <tableColumn id="7" xr3:uid="{00000000-0010-0000-0400-000007000000}" name="label_y_px"/>
    <tableColumn id="8" xr3:uid="{00000000-0010-0000-0400-000008000000}" name="label_x_pct"/>
    <tableColumn id="9" xr3:uid="{00000000-0010-0000-0400-000009000000}" name="label_y_pct"/>
    <tableColumn id="10" xr3:uid="{00000000-0010-0000-0400-00000A000000}" name="label_size_px"/>
    <tableColumn id="11" xr3:uid="{00000000-0010-0000-0400-00000B000000}" name="label_weight"/>
    <tableColumn id="12" xr3:uid="{00000000-0010-0000-0400-00000C000000}" name="label_anchor"/>
    <tableColumn id="13" xr3:uid="{00000000-0010-0000-0400-00000D000000}" name="label_rotation"/>
    <tableColumn id="14" xr3:uid="{00000000-0010-0000-0400-00000E000000}" name="source_method"/>
    <tableColumn id="15" xr3:uid="{00000000-0010-0000-0400-00000F000000}" name="mem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neSequencesTable" displayName="LineSequencesTable" ref="A1:I282" totalsRowShown="0">
  <tableColumns count="9">
    <tableColumn id="1" xr3:uid="{00000000-0010-0000-0500-000001000000}" name="line_id"/>
    <tableColumn id="2" xr3:uid="{00000000-0010-0000-0500-000002000000}" name="branch_code"/>
    <tableColumn id="3" xr3:uid="{00000000-0010-0000-0500-000003000000}" name="path_order"/>
    <tableColumn id="4" xr3:uid="{00000000-0010-0000-0500-000004000000}" name="visual_node_id"/>
    <tableColumn id="5" xr3:uid="{00000000-0010-0000-0500-000005000000}" name="station_key"/>
    <tableColumn id="6" xr3:uid="{00000000-0010-0000-0500-000006000000}" name="station_name"/>
    <tableColumn id="7" xr3:uid="{00000000-0010-0000-0500-000007000000}" name="display_name"/>
    <tableColumn id="8" xr3:uid="{00000000-0010-0000-0500-000008000000}" name="is_branch_endpoint"/>
    <tableColumn id="9" xr3:uid="{00000000-0010-0000-0500-000009000000}" name="alias_or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ferLinksTable" displayName="TransferLinksTable" ref="A1:J40" totalsRowShown="0">
  <tableColumns count="10">
    <tableColumn id="1" xr3:uid="{00000000-0010-0000-0600-000001000000}" name="station_key"/>
    <tableColumn id="2" xr3:uid="{00000000-0010-0000-0600-000002000000}" name="station_name"/>
    <tableColumn id="3" xr3:uid="{00000000-0010-0000-0600-000003000000}" name="from_line_id"/>
    <tableColumn id="4" xr3:uid="{00000000-0010-0000-0600-000004000000}" name="to_line_id"/>
    <tableColumn id="5" xr3:uid="{00000000-0010-0000-0600-000005000000}" name="from_visual_node_id"/>
    <tableColumn id="6" xr3:uid="{00000000-0010-0000-0600-000006000000}" name="to_visual_node_id"/>
    <tableColumn id="7" xr3:uid="{00000000-0010-0000-0600-000007000000}" name="transfer_style"/>
    <tableColumn id="8" xr3:uid="{00000000-0010-0000-0600-000008000000}" name="connector_visible"/>
    <tableColumn id="9" xr3:uid="{00000000-0010-0000-0600-000009000000}" name="connector_color"/>
    <tableColumn id="10" xr3:uid="{00000000-0010-0000-0600-00000A000000}" name="mem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apLayerOrderTable" displayName="MapLayerOrderTable" ref="A1:E8" totalsRowShown="0">
  <tableColumns count="5">
    <tableColumn id="1" xr3:uid="{00000000-0010-0000-0700-000001000000}" name="layer_order"/>
    <tableColumn id="2" xr3:uid="{00000000-0010-0000-0700-000002000000}" name="layer_name"/>
    <tableColumn id="3" xr3:uid="{00000000-0010-0000-0700-000003000000}" name="source_sheet"/>
    <tableColumn id="4" xr3:uid="{00000000-0010-0000-0700-000004000000}" name="render_object"/>
    <tableColumn id="5" xr3:uid="{00000000-0010-0000-0700-000005000000}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jectScopeTable" displayName="ProjectScopeTable" ref="A1:F13" totalsRowShown="0">
  <tableColumns count="6">
    <tableColumn id="1" xr3:uid="{00000000-0010-0000-0800-000001000000}" name="line_id"/>
    <tableColumn id="2" xr3:uid="{00000000-0010-0000-0800-000002000000}" name="branch_code"/>
    <tableColumn id="3" xr3:uid="{00000000-0010-0000-0800-000003000000}" name="start_station"/>
    <tableColumn id="4" xr3:uid="{00000000-0010-0000-0800-000004000000}" name="end_station"/>
    <tableColumn id="5" xr3:uid="{00000000-0010-0000-0800-000005000000}" name="project_range"/>
    <tableColumn id="6" xr3:uid="{00000000-0010-0000-0800-000006000000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ourcesTable" displayName="SourcesTable" ref="A1:C6" totalsRowShown="0">
  <tableColumns count="3">
    <tableColumn id="1" xr3:uid="{00000000-0010-0000-0900-000001000000}" name="source_name"/>
    <tableColumn id="2" xr3:uid="{00000000-0010-0000-0900-000002000000}" name="url"/>
    <tableColumn id="3" xr3:uid="{00000000-0010-0000-0900-000003000000}" name="usag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2" sqref="B22"/>
    </sheetView>
  </sheetViews>
  <sheetFormatPr defaultRowHeight="14.25"/>
  <cols>
    <col min="1" max="1" width="20" customWidth="1"/>
    <col min="2" max="2" width="100" customWidth="1"/>
  </cols>
  <sheetData>
    <row r="1" spans="1:2" ht="32.1" customHeight="1">
      <c r="A1" s="19" t="s">
        <v>0</v>
      </c>
      <c r="B1" s="20"/>
    </row>
    <row r="2" spans="1:2" ht="15">
      <c r="A2" s="1" t="s">
        <v>1</v>
      </c>
      <c r="B2" s="2" t="s">
        <v>2</v>
      </c>
    </row>
    <row r="3" spans="1:2" ht="29.25">
      <c r="A3" s="1" t="s">
        <v>3</v>
      </c>
      <c r="B3" s="2" t="s">
        <v>4</v>
      </c>
    </row>
    <row r="4" spans="1:2" ht="15">
      <c r="A4" s="1" t="s">
        <v>5</v>
      </c>
      <c r="B4" s="2" t="s">
        <v>6</v>
      </c>
    </row>
    <row r="5" spans="1:2" ht="15">
      <c r="A5" s="1" t="s">
        <v>7</v>
      </c>
      <c r="B5" s="2" t="s">
        <v>8</v>
      </c>
    </row>
    <row r="6" spans="1:2" ht="15">
      <c r="A6" s="1" t="s">
        <v>9</v>
      </c>
      <c r="B6" s="2" t="s">
        <v>10</v>
      </c>
    </row>
    <row r="7" spans="1:2" ht="15">
      <c r="A7" s="1" t="s">
        <v>11</v>
      </c>
      <c r="B7" s="2" t="s">
        <v>12</v>
      </c>
    </row>
    <row r="8" spans="1:2" ht="15">
      <c r="A8" s="1" t="s">
        <v>13</v>
      </c>
      <c r="B8" s="2" t="s">
        <v>14</v>
      </c>
    </row>
    <row r="9" spans="1:2" ht="15">
      <c r="A9" s="1" t="s">
        <v>15</v>
      </c>
      <c r="B9" s="2" t="s">
        <v>16</v>
      </c>
    </row>
    <row r="10" spans="1:2" ht="15">
      <c r="A10" s="1" t="s">
        <v>17</v>
      </c>
      <c r="B10" s="2" t="s">
        <v>18</v>
      </c>
    </row>
  </sheetData>
  <mergeCells count="1">
    <mergeCell ref="A1:B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18" sqref="C18"/>
    </sheetView>
  </sheetViews>
  <sheetFormatPr defaultRowHeight="14.25"/>
  <cols>
    <col min="1" max="1" width="34" customWidth="1"/>
    <col min="2" max="2" width="18" customWidth="1"/>
    <col min="3" max="3" width="80" customWidth="1"/>
  </cols>
  <sheetData>
    <row r="1" spans="1:3" ht="27.95" customHeight="1">
      <c r="A1" s="4" t="s">
        <v>19</v>
      </c>
      <c r="B1" s="4" t="s">
        <v>20</v>
      </c>
      <c r="C1" s="4" t="s">
        <v>21</v>
      </c>
    </row>
    <row r="2" spans="1:3">
      <c r="A2" s="5" t="s">
        <v>22</v>
      </c>
      <c r="B2" s="5">
        <v>5120</v>
      </c>
      <c r="C2" s="5" t="s">
        <v>23</v>
      </c>
    </row>
    <row r="3" spans="1:3">
      <c r="A3" s="5" t="s">
        <v>24</v>
      </c>
      <c r="B3" s="5">
        <v>2880</v>
      </c>
      <c r="C3" s="5" t="s">
        <v>25</v>
      </c>
    </row>
    <row r="4" spans="1:3">
      <c r="A4" s="5" t="s">
        <v>26</v>
      </c>
      <c r="B4" s="5">
        <v>10</v>
      </c>
      <c r="C4" s="5" t="s">
        <v>27</v>
      </c>
    </row>
    <row r="5" spans="1:3">
      <c r="A5" s="5" t="s">
        <v>28</v>
      </c>
      <c r="B5" s="5">
        <v>12</v>
      </c>
      <c r="C5" s="5" t="s">
        <v>29</v>
      </c>
    </row>
    <row r="6" spans="1:3">
      <c r="A6" s="5" t="s">
        <v>30</v>
      </c>
      <c r="B6" s="5">
        <v>24</v>
      </c>
      <c r="C6" s="5" t="s">
        <v>31</v>
      </c>
    </row>
    <row r="7" spans="1:3">
      <c r="A7" s="5" t="s">
        <v>32</v>
      </c>
      <c r="B7" s="5">
        <v>48</v>
      </c>
      <c r="C7" s="5" t="s">
        <v>33</v>
      </c>
    </row>
    <row r="8" spans="1:3" ht="28.5">
      <c r="A8" s="5" t="s">
        <v>34</v>
      </c>
      <c r="B8" s="5">
        <v>56</v>
      </c>
      <c r="C8" s="5" t="s">
        <v>35</v>
      </c>
    </row>
    <row r="9" spans="1:3">
      <c r="A9" s="5" t="s">
        <v>36</v>
      </c>
      <c r="B9" s="5" t="s">
        <v>37</v>
      </c>
      <c r="C9" s="5" t="s">
        <v>38</v>
      </c>
    </row>
    <row r="10" spans="1:3">
      <c r="A10" s="5" t="s">
        <v>39</v>
      </c>
      <c r="B10" s="5" t="s">
        <v>40</v>
      </c>
      <c r="C10" s="5" t="s">
        <v>41</v>
      </c>
    </row>
    <row r="11" spans="1:3" ht="28.5">
      <c r="A11" s="5" t="s">
        <v>42</v>
      </c>
      <c r="B11" s="5" t="s">
        <v>43</v>
      </c>
      <c r="C11" s="5" t="s">
        <v>44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1"/>
  <sheetViews>
    <sheetView workbookViewId="0">
      <selection activeCell="B206" sqref="B206"/>
    </sheetView>
  </sheetViews>
  <sheetFormatPr defaultRowHeight="14.25"/>
  <cols>
    <col min="1" max="1" width="12" customWidth="1"/>
    <col min="2" max="3" width="18" customWidth="1"/>
    <col min="4" max="4" width="24" customWidth="1"/>
    <col min="5" max="5" width="15" customWidth="1"/>
    <col min="6" max="6" width="34" customWidth="1"/>
    <col min="7" max="7" width="28" customWidth="1"/>
    <col min="8" max="9" width="18" customWidth="1"/>
    <col min="10" max="11" width="30" customWidth="1"/>
  </cols>
  <sheetData>
    <row r="1" spans="1:26" ht="27.95" customHeight="1">
      <c r="A1" s="12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>
        <v>1</v>
      </c>
      <c r="B2" s="5" t="s">
        <v>56</v>
      </c>
      <c r="C2" s="5" t="s">
        <v>56</v>
      </c>
      <c r="D2" s="5" t="s">
        <v>56</v>
      </c>
      <c r="E2" s="5" t="s">
        <v>57</v>
      </c>
      <c r="F2" s="5"/>
      <c r="G2" s="5" t="s">
        <v>58</v>
      </c>
      <c r="H2" s="6" t="b">
        <v>1</v>
      </c>
      <c r="I2" s="6" t="b">
        <v>0</v>
      </c>
      <c r="J2" s="5"/>
      <c r="K2" s="5"/>
    </row>
    <row r="3" spans="1:26">
      <c r="A3" s="5">
        <v>2</v>
      </c>
      <c r="B3" s="5" t="s">
        <v>59</v>
      </c>
      <c r="C3" s="5" t="s">
        <v>59</v>
      </c>
      <c r="D3" s="5" t="s">
        <v>60</v>
      </c>
      <c r="E3" s="5" t="s">
        <v>61</v>
      </c>
      <c r="F3" s="5"/>
      <c r="G3" s="5" t="s">
        <v>62</v>
      </c>
      <c r="H3" s="6" t="b">
        <v>1</v>
      </c>
      <c r="I3" s="6" t="b">
        <v>1</v>
      </c>
      <c r="J3" s="5"/>
      <c r="K3" s="5"/>
    </row>
    <row r="4" spans="1:26">
      <c r="A4" s="5">
        <v>3</v>
      </c>
      <c r="B4" s="5" t="s">
        <v>63</v>
      </c>
      <c r="C4" s="5" t="s">
        <v>63</v>
      </c>
      <c r="D4" s="5" t="s">
        <v>64</v>
      </c>
      <c r="E4" s="5" t="s">
        <v>65</v>
      </c>
      <c r="F4" s="5"/>
      <c r="G4" s="5" t="s">
        <v>66</v>
      </c>
      <c r="H4" s="6" t="b">
        <v>0</v>
      </c>
      <c r="I4" s="6" t="b">
        <v>1</v>
      </c>
      <c r="J4" s="5"/>
      <c r="K4" s="5"/>
    </row>
    <row r="5" spans="1:26">
      <c r="A5" s="5">
        <v>4</v>
      </c>
      <c r="B5" s="5" t="s">
        <v>67</v>
      </c>
      <c r="C5" s="5" t="s">
        <v>67</v>
      </c>
      <c r="D5" s="5" t="s">
        <v>68</v>
      </c>
      <c r="E5" s="5" t="s">
        <v>69</v>
      </c>
      <c r="F5" s="5"/>
      <c r="G5" s="5" t="s">
        <v>70</v>
      </c>
      <c r="H5" s="6" t="b">
        <v>1</v>
      </c>
      <c r="I5" s="6" t="b">
        <v>0</v>
      </c>
      <c r="J5" s="5"/>
      <c r="K5" s="5"/>
    </row>
    <row r="6" spans="1:26">
      <c r="A6" s="5">
        <v>5</v>
      </c>
      <c r="B6" s="5" t="s">
        <v>71</v>
      </c>
      <c r="C6" s="5" t="s">
        <v>71</v>
      </c>
      <c r="D6" s="5" t="s">
        <v>72</v>
      </c>
      <c r="E6" s="5" t="s">
        <v>65</v>
      </c>
      <c r="F6" s="5"/>
      <c r="G6" s="5" t="s">
        <v>66</v>
      </c>
      <c r="H6" s="6" t="b">
        <v>0</v>
      </c>
      <c r="I6" s="6" t="b">
        <v>0</v>
      </c>
      <c r="J6" s="5"/>
      <c r="K6" s="5"/>
    </row>
    <row r="7" spans="1:26">
      <c r="A7" s="5">
        <v>6</v>
      </c>
      <c r="B7" s="5" t="s">
        <v>73</v>
      </c>
      <c r="C7" s="5" t="s">
        <v>73</v>
      </c>
      <c r="D7" s="5" t="s">
        <v>74</v>
      </c>
      <c r="E7" s="5" t="s">
        <v>57</v>
      </c>
      <c r="F7" s="5"/>
      <c r="G7" s="5" t="s">
        <v>58</v>
      </c>
      <c r="H7" s="6" t="b">
        <v>1</v>
      </c>
      <c r="I7" s="6" t="b">
        <v>0</v>
      </c>
      <c r="J7" s="5"/>
      <c r="K7" s="5"/>
    </row>
    <row r="8" spans="1:26">
      <c r="A8" s="5">
        <v>7</v>
      </c>
      <c r="B8" s="5" t="s">
        <v>75</v>
      </c>
      <c r="C8" s="5" t="s">
        <v>75</v>
      </c>
      <c r="D8" s="5" t="s">
        <v>76</v>
      </c>
      <c r="E8" s="5" t="s">
        <v>77</v>
      </c>
      <c r="F8" s="5"/>
      <c r="G8" s="5" t="s">
        <v>78</v>
      </c>
      <c r="H8" s="6" t="b">
        <v>1</v>
      </c>
      <c r="I8" s="6" t="b">
        <v>0</v>
      </c>
      <c r="J8" s="5"/>
      <c r="K8" s="5"/>
    </row>
    <row r="9" spans="1:26">
      <c r="A9" s="5">
        <v>8</v>
      </c>
      <c r="B9" s="5" t="s">
        <v>79</v>
      </c>
      <c r="C9" s="5" t="s">
        <v>79</v>
      </c>
      <c r="D9" s="5" t="s">
        <v>80</v>
      </c>
      <c r="E9" s="5" t="s">
        <v>61</v>
      </c>
      <c r="F9" s="5"/>
      <c r="G9" s="5" t="s">
        <v>81</v>
      </c>
      <c r="H9" s="6" t="b">
        <v>1</v>
      </c>
      <c r="I9" s="6" t="b">
        <v>0</v>
      </c>
      <c r="J9" s="5"/>
      <c r="K9" s="5"/>
    </row>
    <row r="10" spans="1:26">
      <c r="A10" s="5">
        <v>9</v>
      </c>
      <c r="B10" s="5" t="s">
        <v>82</v>
      </c>
      <c r="C10" s="5" t="s">
        <v>82</v>
      </c>
      <c r="D10" s="5" t="s">
        <v>83</v>
      </c>
      <c r="E10" s="5" t="s">
        <v>65</v>
      </c>
      <c r="F10" s="5"/>
      <c r="G10" s="5" t="s">
        <v>66</v>
      </c>
      <c r="H10" s="6" t="b">
        <v>0</v>
      </c>
      <c r="I10" s="6" t="b">
        <v>0</v>
      </c>
      <c r="J10" s="5"/>
      <c r="K10" s="5"/>
    </row>
    <row r="11" spans="1:26">
      <c r="A11" s="5">
        <v>10</v>
      </c>
      <c r="B11" s="5" t="s">
        <v>84</v>
      </c>
      <c r="C11" s="5" t="s">
        <v>84</v>
      </c>
      <c r="D11" s="5" t="s">
        <v>85</v>
      </c>
      <c r="E11" s="5" t="s">
        <v>65</v>
      </c>
      <c r="F11" s="5"/>
      <c r="G11" s="5" t="s">
        <v>66</v>
      </c>
      <c r="H11" s="6" t="b">
        <v>0</v>
      </c>
      <c r="I11" s="6" t="b">
        <v>0</v>
      </c>
      <c r="J11" s="5" t="s">
        <v>86</v>
      </c>
      <c r="K11" s="5"/>
    </row>
    <row r="12" spans="1:26">
      <c r="A12" s="5">
        <v>11</v>
      </c>
      <c r="B12" s="5" t="s">
        <v>87</v>
      </c>
      <c r="C12" s="5" t="s">
        <v>87</v>
      </c>
      <c r="D12" s="5" t="s">
        <v>88</v>
      </c>
      <c r="E12" s="5" t="s">
        <v>89</v>
      </c>
      <c r="F12" s="5"/>
      <c r="G12" s="5" t="s">
        <v>90</v>
      </c>
      <c r="H12" s="6" t="b">
        <v>0</v>
      </c>
      <c r="I12" s="6" t="b">
        <v>0</v>
      </c>
      <c r="J12" s="5"/>
      <c r="K12" s="5"/>
    </row>
    <row r="13" spans="1:26">
      <c r="A13" s="5">
        <v>12</v>
      </c>
      <c r="B13" s="5" t="s">
        <v>91</v>
      </c>
      <c r="C13" s="5" t="s">
        <v>91</v>
      </c>
      <c r="D13" s="5" t="s">
        <v>92</v>
      </c>
      <c r="E13" s="5" t="s">
        <v>93</v>
      </c>
      <c r="F13" s="5"/>
      <c r="G13" s="5" t="s">
        <v>94</v>
      </c>
      <c r="H13" s="6" t="b">
        <v>1</v>
      </c>
      <c r="I13" s="6" t="b">
        <v>0</v>
      </c>
      <c r="J13" s="5"/>
      <c r="K13" s="5"/>
    </row>
    <row r="14" spans="1:26">
      <c r="A14" s="5">
        <v>13</v>
      </c>
      <c r="B14" s="5" t="s">
        <v>95</v>
      </c>
      <c r="C14" s="5" t="s">
        <v>95</v>
      </c>
      <c r="D14" s="5" t="s">
        <v>96</v>
      </c>
      <c r="E14" s="5" t="s">
        <v>97</v>
      </c>
      <c r="F14" s="5"/>
      <c r="G14" s="5" t="s">
        <v>98</v>
      </c>
      <c r="H14" s="6" t="b">
        <v>1</v>
      </c>
      <c r="I14" s="6" t="b">
        <v>0</v>
      </c>
      <c r="J14" s="5"/>
      <c r="K14" s="5"/>
    </row>
    <row r="15" spans="1:26">
      <c r="A15" s="5">
        <v>14</v>
      </c>
      <c r="B15" s="5" t="s">
        <v>99</v>
      </c>
      <c r="C15" s="5" t="s">
        <v>99</v>
      </c>
      <c r="D15" s="5" t="s">
        <v>100</v>
      </c>
      <c r="E15" s="5" t="s">
        <v>101</v>
      </c>
      <c r="F15" s="5"/>
      <c r="G15" s="5" t="s">
        <v>102</v>
      </c>
      <c r="H15" s="6" t="b">
        <v>1</v>
      </c>
      <c r="I15" s="6" t="b">
        <v>0</v>
      </c>
      <c r="J15" s="5" t="s">
        <v>103</v>
      </c>
      <c r="K15" s="5"/>
    </row>
    <row r="16" spans="1:26">
      <c r="A16" s="5">
        <v>15</v>
      </c>
      <c r="B16" s="5" t="s">
        <v>104</v>
      </c>
      <c r="C16" s="5" t="s">
        <v>104</v>
      </c>
      <c r="D16" s="5" t="s">
        <v>105</v>
      </c>
      <c r="E16" s="5" t="s">
        <v>106</v>
      </c>
      <c r="F16" s="5"/>
      <c r="G16" s="5" t="s">
        <v>107</v>
      </c>
      <c r="H16" s="6" t="b">
        <v>1</v>
      </c>
      <c r="I16" s="6" t="b">
        <v>0</v>
      </c>
      <c r="J16" s="5"/>
      <c r="K16" s="5"/>
    </row>
    <row r="17" spans="1:11">
      <c r="A17" s="5">
        <v>16</v>
      </c>
      <c r="B17" s="5" t="s">
        <v>108</v>
      </c>
      <c r="C17" s="5" t="s">
        <v>108</v>
      </c>
      <c r="D17" s="5" t="s">
        <v>109</v>
      </c>
      <c r="E17" s="5" t="s">
        <v>89</v>
      </c>
      <c r="F17" s="5"/>
      <c r="G17" s="5" t="s">
        <v>90</v>
      </c>
      <c r="H17" s="6" t="b">
        <v>0</v>
      </c>
      <c r="I17" s="6" t="b">
        <v>0</v>
      </c>
      <c r="J17" s="5"/>
      <c r="K17" s="5"/>
    </row>
    <row r="18" spans="1:11">
      <c r="A18" s="5">
        <v>17</v>
      </c>
      <c r="B18" s="5" t="s">
        <v>110</v>
      </c>
      <c r="C18" s="5" t="s">
        <v>110</v>
      </c>
      <c r="D18" s="5" t="s">
        <v>111</v>
      </c>
      <c r="E18" s="5" t="s">
        <v>97</v>
      </c>
      <c r="F18" s="5"/>
      <c r="G18" s="5" t="s">
        <v>98</v>
      </c>
      <c r="H18" s="6" t="b">
        <v>1</v>
      </c>
      <c r="I18" s="6" t="b">
        <v>0</v>
      </c>
      <c r="J18" s="5"/>
      <c r="K18" s="5"/>
    </row>
    <row r="19" spans="1:11">
      <c r="A19" s="5">
        <v>18</v>
      </c>
      <c r="B19" s="5" t="s">
        <v>112</v>
      </c>
      <c r="C19" s="5" t="s">
        <v>112</v>
      </c>
      <c r="D19" s="5" t="s">
        <v>113</v>
      </c>
      <c r="E19" s="5" t="s">
        <v>89</v>
      </c>
      <c r="F19" s="5"/>
      <c r="G19" s="5" t="s">
        <v>90</v>
      </c>
      <c r="H19" s="6" t="b">
        <v>0</v>
      </c>
      <c r="I19" s="6" t="b">
        <v>1</v>
      </c>
      <c r="J19" s="5"/>
      <c r="K19" s="5"/>
    </row>
    <row r="20" spans="1:11">
      <c r="A20" s="5">
        <v>19</v>
      </c>
      <c r="B20" s="5" t="s">
        <v>114</v>
      </c>
      <c r="C20" s="5" t="s">
        <v>114</v>
      </c>
      <c r="D20" s="5" t="s">
        <v>115</v>
      </c>
      <c r="E20" s="5" t="s">
        <v>89</v>
      </c>
      <c r="F20" s="5"/>
      <c r="G20" s="5" t="s">
        <v>90</v>
      </c>
      <c r="H20" s="6" t="b">
        <v>0</v>
      </c>
      <c r="I20" s="6" t="b">
        <v>0</v>
      </c>
      <c r="J20" s="5"/>
      <c r="K20" s="5"/>
    </row>
    <row r="21" spans="1:11">
      <c r="A21" s="5">
        <v>20</v>
      </c>
      <c r="B21" s="5" t="s">
        <v>116</v>
      </c>
      <c r="C21" s="5" t="s">
        <v>116</v>
      </c>
      <c r="D21" s="5" t="s">
        <v>117</v>
      </c>
      <c r="E21" s="5" t="s">
        <v>89</v>
      </c>
      <c r="F21" s="5"/>
      <c r="G21" s="5" t="s">
        <v>118</v>
      </c>
      <c r="H21" s="6" t="b">
        <v>0</v>
      </c>
      <c r="I21" s="6" t="b">
        <v>0</v>
      </c>
      <c r="J21" s="5"/>
      <c r="K21" s="5"/>
    </row>
    <row r="22" spans="1:11">
      <c r="A22" s="5">
        <v>21</v>
      </c>
      <c r="B22" s="5" t="s">
        <v>119</v>
      </c>
      <c r="C22" s="5" t="s">
        <v>119</v>
      </c>
      <c r="D22" s="5" t="s">
        <v>120</v>
      </c>
      <c r="E22" s="5" t="s">
        <v>121</v>
      </c>
      <c r="F22" s="5"/>
      <c r="G22" s="5" t="s">
        <v>122</v>
      </c>
      <c r="H22" s="6" t="b">
        <v>1</v>
      </c>
      <c r="I22" s="6" t="b">
        <v>1</v>
      </c>
      <c r="J22" s="5"/>
      <c r="K22" s="5"/>
    </row>
    <row r="23" spans="1:11">
      <c r="A23" s="5">
        <v>22</v>
      </c>
      <c r="B23" s="5" t="s">
        <v>123</v>
      </c>
      <c r="C23" s="5" t="s">
        <v>123</v>
      </c>
      <c r="D23" s="5" t="s">
        <v>124</v>
      </c>
      <c r="E23" s="5" t="s">
        <v>89</v>
      </c>
      <c r="F23" s="5"/>
      <c r="G23" s="5" t="s">
        <v>90</v>
      </c>
      <c r="H23" s="6" t="b">
        <v>0</v>
      </c>
      <c r="I23" s="6" t="b">
        <v>0</v>
      </c>
      <c r="J23" s="5"/>
      <c r="K23" s="5"/>
    </row>
    <row r="24" spans="1:11">
      <c r="A24" s="5">
        <v>23</v>
      </c>
      <c r="B24" s="5" t="s">
        <v>125</v>
      </c>
      <c r="C24" s="5" t="s">
        <v>125</v>
      </c>
      <c r="D24" s="5" t="s">
        <v>126</v>
      </c>
      <c r="E24" s="5" t="s">
        <v>89</v>
      </c>
      <c r="F24" s="5"/>
      <c r="G24" s="5" t="s">
        <v>90</v>
      </c>
      <c r="H24" s="6" t="b">
        <v>0</v>
      </c>
      <c r="I24" s="6" t="b">
        <v>0</v>
      </c>
      <c r="J24" s="5"/>
      <c r="K24" s="5"/>
    </row>
    <row r="25" spans="1:11">
      <c r="A25" s="5">
        <v>24</v>
      </c>
      <c r="B25" s="5" t="s">
        <v>127</v>
      </c>
      <c r="C25" s="5" t="s">
        <v>127</v>
      </c>
      <c r="D25" s="5" t="s">
        <v>128</v>
      </c>
      <c r="E25" s="5" t="s">
        <v>89</v>
      </c>
      <c r="F25" s="5"/>
      <c r="G25" s="5" t="s">
        <v>90</v>
      </c>
      <c r="H25" s="6" t="b">
        <v>0</v>
      </c>
      <c r="I25" s="6" t="b">
        <v>0</v>
      </c>
      <c r="J25" s="5"/>
      <c r="K25" s="5"/>
    </row>
    <row r="26" spans="1:11">
      <c r="A26" s="5">
        <v>25</v>
      </c>
      <c r="B26" s="5" t="s">
        <v>129</v>
      </c>
      <c r="C26" s="5" t="s">
        <v>129</v>
      </c>
      <c r="D26" s="5" t="s">
        <v>130</v>
      </c>
      <c r="E26" s="5" t="s">
        <v>131</v>
      </c>
      <c r="F26" s="5"/>
      <c r="G26" s="5" t="s">
        <v>132</v>
      </c>
      <c r="H26" s="6" t="b">
        <v>1</v>
      </c>
      <c r="I26" s="6" t="b">
        <v>0</v>
      </c>
      <c r="J26" s="5"/>
      <c r="K26" s="5"/>
    </row>
    <row r="27" spans="1:11">
      <c r="A27" s="5">
        <v>26</v>
      </c>
      <c r="B27" s="5" t="s">
        <v>133</v>
      </c>
      <c r="C27" s="5" t="s">
        <v>133</v>
      </c>
      <c r="D27" s="5" t="s">
        <v>134</v>
      </c>
      <c r="E27" s="5" t="s">
        <v>89</v>
      </c>
      <c r="F27" s="5"/>
      <c r="G27" s="5" t="s">
        <v>90</v>
      </c>
      <c r="H27" s="6" t="b">
        <v>0</v>
      </c>
      <c r="I27" s="6" t="b">
        <v>0</v>
      </c>
      <c r="J27" s="5"/>
      <c r="K27" s="5"/>
    </row>
    <row r="28" spans="1:11">
      <c r="A28" s="5">
        <v>27</v>
      </c>
      <c r="B28" s="5" t="s">
        <v>135</v>
      </c>
      <c r="C28" s="5" t="s">
        <v>135</v>
      </c>
      <c r="D28" s="5" t="s">
        <v>136</v>
      </c>
      <c r="E28" s="5" t="s">
        <v>89</v>
      </c>
      <c r="F28" s="5"/>
      <c r="G28" s="5" t="s">
        <v>90</v>
      </c>
      <c r="H28" s="6" t="b">
        <v>0</v>
      </c>
      <c r="I28" s="6" t="b">
        <v>1</v>
      </c>
      <c r="J28" s="5"/>
      <c r="K28" s="5"/>
    </row>
    <row r="29" spans="1:11">
      <c r="A29" s="5">
        <v>28</v>
      </c>
      <c r="B29" s="5" t="s">
        <v>137</v>
      </c>
      <c r="C29" s="5" t="s">
        <v>137</v>
      </c>
      <c r="D29" s="5" t="s">
        <v>138</v>
      </c>
      <c r="E29" s="5" t="s">
        <v>89</v>
      </c>
      <c r="F29" s="5"/>
      <c r="G29" s="5" t="s">
        <v>90</v>
      </c>
      <c r="H29" s="6" t="b">
        <v>0</v>
      </c>
      <c r="I29" s="6" t="b">
        <v>1</v>
      </c>
      <c r="J29" s="5"/>
      <c r="K29" s="5"/>
    </row>
    <row r="30" spans="1:11">
      <c r="A30" s="5">
        <v>29</v>
      </c>
      <c r="B30" s="5" t="s">
        <v>139</v>
      </c>
      <c r="C30" s="5" t="s">
        <v>139</v>
      </c>
      <c r="D30" s="5" t="s">
        <v>140</v>
      </c>
      <c r="E30" s="5" t="s">
        <v>89</v>
      </c>
      <c r="F30" s="5"/>
      <c r="G30" s="5" t="s">
        <v>90</v>
      </c>
      <c r="H30" s="6" t="b">
        <v>0</v>
      </c>
      <c r="I30" s="6" t="b">
        <v>0</v>
      </c>
      <c r="J30" s="5"/>
      <c r="K30" s="5"/>
    </row>
    <row r="31" spans="1:11">
      <c r="A31" s="5">
        <v>30</v>
      </c>
      <c r="B31" s="5" t="s">
        <v>141</v>
      </c>
      <c r="C31" s="5" t="s">
        <v>141</v>
      </c>
      <c r="D31" s="5" t="s">
        <v>142</v>
      </c>
      <c r="E31" s="5" t="s">
        <v>89</v>
      </c>
      <c r="F31" s="5"/>
      <c r="G31" s="5" t="s">
        <v>90</v>
      </c>
      <c r="H31" s="6" t="b">
        <v>0</v>
      </c>
      <c r="I31" s="6" t="b">
        <v>0</v>
      </c>
      <c r="J31" s="5"/>
      <c r="K31" s="5"/>
    </row>
    <row r="32" spans="1:11">
      <c r="A32" s="5">
        <v>31</v>
      </c>
      <c r="B32" s="5" t="s">
        <v>143</v>
      </c>
      <c r="C32" s="5" t="s">
        <v>143</v>
      </c>
      <c r="D32" s="5" t="s">
        <v>144</v>
      </c>
      <c r="E32" s="5" t="s">
        <v>89</v>
      </c>
      <c r="F32" s="5"/>
      <c r="G32" s="5" t="s">
        <v>90</v>
      </c>
      <c r="H32" s="6" t="b">
        <v>0</v>
      </c>
      <c r="I32" s="6" t="b">
        <v>0</v>
      </c>
      <c r="J32" s="5"/>
      <c r="K32" s="5"/>
    </row>
    <row r="33" spans="1:11">
      <c r="A33" s="5">
        <v>32</v>
      </c>
      <c r="B33" s="5" t="s">
        <v>145</v>
      </c>
      <c r="C33" s="5" t="s">
        <v>145</v>
      </c>
      <c r="D33" s="5" t="s">
        <v>146</v>
      </c>
      <c r="E33" s="5" t="s">
        <v>93</v>
      </c>
      <c r="F33" s="5"/>
      <c r="G33" s="5" t="s">
        <v>94</v>
      </c>
      <c r="H33" s="6" t="b">
        <v>1</v>
      </c>
      <c r="I33" s="6" t="b">
        <v>0</v>
      </c>
      <c r="J33" s="5"/>
      <c r="K33" s="5"/>
    </row>
    <row r="34" spans="1:11">
      <c r="A34" s="5">
        <v>33</v>
      </c>
      <c r="B34" s="5" t="s">
        <v>147</v>
      </c>
      <c r="C34" s="5" t="s">
        <v>147</v>
      </c>
      <c r="D34" s="5" t="s">
        <v>148</v>
      </c>
      <c r="E34" s="5" t="s">
        <v>89</v>
      </c>
      <c r="F34" s="5"/>
      <c r="G34" s="5" t="s">
        <v>90</v>
      </c>
      <c r="H34" s="6" t="b">
        <v>0</v>
      </c>
      <c r="I34" s="6" t="b">
        <v>0</v>
      </c>
      <c r="J34" s="5"/>
      <c r="K34" s="5"/>
    </row>
    <row r="35" spans="1:11">
      <c r="A35" s="5">
        <v>34</v>
      </c>
      <c r="B35" s="5" t="s">
        <v>149</v>
      </c>
      <c r="C35" s="5" t="s">
        <v>149</v>
      </c>
      <c r="D35" s="5" t="s">
        <v>150</v>
      </c>
      <c r="E35" s="5" t="s">
        <v>89</v>
      </c>
      <c r="F35" s="5"/>
      <c r="G35" s="5" t="s">
        <v>90</v>
      </c>
      <c r="H35" s="6" t="b">
        <v>0</v>
      </c>
      <c r="I35" s="6" t="b">
        <v>0</v>
      </c>
      <c r="J35" s="5"/>
      <c r="K35" s="5"/>
    </row>
    <row r="36" spans="1:11">
      <c r="A36" s="5">
        <v>35</v>
      </c>
      <c r="B36" s="5" t="s">
        <v>151</v>
      </c>
      <c r="C36" s="5" t="s">
        <v>151</v>
      </c>
      <c r="D36" s="5" t="s">
        <v>152</v>
      </c>
      <c r="E36" s="5" t="s">
        <v>153</v>
      </c>
      <c r="F36" s="5"/>
      <c r="G36" s="5" t="s">
        <v>154</v>
      </c>
      <c r="H36" s="6" t="b">
        <v>1</v>
      </c>
      <c r="I36" s="6" t="b">
        <v>0</v>
      </c>
      <c r="J36" s="5"/>
      <c r="K36" s="5"/>
    </row>
    <row r="37" spans="1:11">
      <c r="A37" s="5">
        <v>36</v>
      </c>
      <c r="B37" s="5" t="s">
        <v>155</v>
      </c>
      <c r="C37" s="5" t="s">
        <v>155</v>
      </c>
      <c r="D37" s="5" t="s">
        <v>156</v>
      </c>
      <c r="E37" s="5" t="s">
        <v>89</v>
      </c>
      <c r="F37" s="5"/>
      <c r="G37" s="5" t="s">
        <v>90</v>
      </c>
      <c r="H37" s="6" t="b">
        <v>0</v>
      </c>
      <c r="I37" s="6" t="b">
        <v>0</v>
      </c>
      <c r="J37" s="5"/>
      <c r="K37" s="5"/>
    </row>
    <row r="38" spans="1:11">
      <c r="A38" s="5">
        <v>37</v>
      </c>
      <c r="B38" s="5" t="s">
        <v>157</v>
      </c>
      <c r="C38" s="5" t="s">
        <v>157</v>
      </c>
      <c r="D38" s="5" t="s">
        <v>158</v>
      </c>
      <c r="E38" s="5" t="s">
        <v>89</v>
      </c>
      <c r="F38" s="5"/>
      <c r="G38" s="5" t="s">
        <v>90</v>
      </c>
      <c r="H38" s="6" t="b">
        <v>0</v>
      </c>
      <c r="I38" s="6" t="b">
        <v>0</v>
      </c>
      <c r="J38" s="5"/>
      <c r="K38" s="5"/>
    </row>
    <row r="39" spans="1:11">
      <c r="A39" s="5">
        <v>38</v>
      </c>
      <c r="B39" s="5" t="s">
        <v>159</v>
      </c>
      <c r="C39" s="5" t="s">
        <v>159</v>
      </c>
      <c r="D39" s="5" t="s">
        <v>160</v>
      </c>
      <c r="E39" s="5" t="s">
        <v>89</v>
      </c>
      <c r="F39" s="5"/>
      <c r="G39" s="5" t="s">
        <v>90</v>
      </c>
      <c r="H39" s="6" t="b">
        <v>0</v>
      </c>
      <c r="I39" s="6" t="b">
        <v>0</v>
      </c>
      <c r="J39" s="5"/>
      <c r="K39" s="5"/>
    </row>
    <row r="40" spans="1:11">
      <c r="A40" s="5">
        <v>39</v>
      </c>
      <c r="B40" s="5" t="s">
        <v>161</v>
      </c>
      <c r="C40" s="5" t="s">
        <v>161</v>
      </c>
      <c r="D40" s="5" t="s">
        <v>162</v>
      </c>
      <c r="E40" s="5" t="s">
        <v>89</v>
      </c>
      <c r="F40" s="5"/>
      <c r="G40" s="5" t="s">
        <v>90</v>
      </c>
      <c r="H40" s="6" t="b">
        <v>0</v>
      </c>
      <c r="I40" s="6" t="b">
        <v>0</v>
      </c>
      <c r="J40" s="5"/>
      <c r="K40" s="5"/>
    </row>
    <row r="41" spans="1:11">
      <c r="A41" s="5">
        <v>40</v>
      </c>
      <c r="B41" s="5" t="s">
        <v>163</v>
      </c>
      <c r="C41" s="5" t="s">
        <v>163</v>
      </c>
      <c r="D41" s="5" t="s">
        <v>164</v>
      </c>
      <c r="E41" s="5" t="s">
        <v>89</v>
      </c>
      <c r="F41" s="5"/>
      <c r="G41" s="5" t="s">
        <v>90</v>
      </c>
      <c r="H41" s="6" t="b">
        <v>0</v>
      </c>
      <c r="I41" s="6" t="b">
        <v>0</v>
      </c>
      <c r="J41" s="5"/>
      <c r="K41" s="5"/>
    </row>
    <row r="42" spans="1:11">
      <c r="A42" s="5">
        <v>41</v>
      </c>
      <c r="B42" s="5" t="s">
        <v>165</v>
      </c>
      <c r="C42" s="5" t="s">
        <v>165</v>
      </c>
      <c r="D42" s="5" t="s">
        <v>166</v>
      </c>
      <c r="E42" s="5" t="s">
        <v>89</v>
      </c>
      <c r="F42" s="5"/>
      <c r="G42" s="5" t="s">
        <v>90</v>
      </c>
      <c r="H42" s="6" t="b">
        <v>0</v>
      </c>
      <c r="I42" s="6" t="b">
        <v>0</v>
      </c>
      <c r="J42" s="5"/>
      <c r="K42" s="5"/>
    </row>
    <row r="43" spans="1:11">
      <c r="A43" s="5">
        <v>42</v>
      </c>
      <c r="B43" s="5" t="s">
        <v>167</v>
      </c>
      <c r="C43" s="5" t="s">
        <v>167</v>
      </c>
      <c r="D43" s="5" t="s">
        <v>168</v>
      </c>
      <c r="E43" s="5" t="s">
        <v>121</v>
      </c>
      <c r="F43" s="5"/>
      <c r="G43" s="5" t="s">
        <v>122</v>
      </c>
      <c r="H43" s="6" t="b">
        <v>1</v>
      </c>
      <c r="I43" s="6" t="b">
        <v>0</v>
      </c>
      <c r="J43" s="5"/>
      <c r="K43" s="5"/>
    </row>
    <row r="44" spans="1:11">
      <c r="A44" s="5">
        <v>43</v>
      </c>
      <c r="B44" s="5" t="s">
        <v>169</v>
      </c>
      <c r="C44" s="5" t="s">
        <v>169</v>
      </c>
      <c r="D44" s="5" t="s">
        <v>170</v>
      </c>
      <c r="E44" s="5" t="s">
        <v>89</v>
      </c>
      <c r="F44" s="5"/>
      <c r="G44" s="5" t="s">
        <v>171</v>
      </c>
      <c r="H44" s="6" t="b">
        <v>0</v>
      </c>
      <c r="I44" s="6" t="b">
        <v>0</v>
      </c>
      <c r="J44" s="5"/>
      <c r="K44" s="5"/>
    </row>
    <row r="45" spans="1:11">
      <c r="A45" s="5">
        <v>44</v>
      </c>
      <c r="B45" s="5" t="s">
        <v>172</v>
      </c>
      <c r="C45" s="5" t="s">
        <v>172</v>
      </c>
      <c r="D45" s="5" t="s">
        <v>173</v>
      </c>
      <c r="E45" s="5" t="s">
        <v>89</v>
      </c>
      <c r="F45" s="5"/>
      <c r="G45" s="5" t="s">
        <v>90</v>
      </c>
      <c r="H45" s="6" t="b">
        <v>0</v>
      </c>
      <c r="I45" s="6" t="b">
        <v>0</v>
      </c>
      <c r="J45" s="5"/>
      <c r="K45" s="5"/>
    </row>
    <row r="46" spans="1:11">
      <c r="A46" s="5">
        <v>45</v>
      </c>
      <c r="B46" s="5" t="s">
        <v>174</v>
      </c>
      <c r="C46" s="5" t="s">
        <v>174</v>
      </c>
      <c r="D46" s="5" t="s">
        <v>175</v>
      </c>
      <c r="E46" s="5" t="s">
        <v>97</v>
      </c>
      <c r="F46" s="5"/>
      <c r="G46" s="5" t="s">
        <v>98</v>
      </c>
      <c r="H46" s="6" t="b">
        <v>1</v>
      </c>
      <c r="I46" s="6" t="b">
        <v>0</v>
      </c>
      <c r="J46" s="5"/>
      <c r="K46" s="5"/>
    </row>
    <row r="47" spans="1:11">
      <c r="A47" s="5">
        <v>46</v>
      </c>
      <c r="B47" s="5" t="s">
        <v>176</v>
      </c>
      <c r="C47" s="5" t="s">
        <v>176</v>
      </c>
      <c r="D47" s="5" t="s">
        <v>177</v>
      </c>
      <c r="E47" s="5" t="s">
        <v>89</v>
      </c>
      <c r="F47" s="5"/>
      <c r="G47" s="5" t="s">
        <v>90</v>
      </c>
      <c r="H47" s="6" t="b">
        <v>0</v>
      </c>
      <c r="I47" s="6" t="b">
        <v>0</v>
      </c>
      <c r="J47" s="5"/>
      <c r="K47" s="5"/>
    </row>
    <row r="48" spans="1:11">
      <c r="A48" s="5">
        <v>47</v>
      </c>
      <c r="B48" s="5" t="s">
        <v>178</v>
      </c>
      <c r="C48" s="5" t="s">
        <v>178</v>
      </c>
      <c r="D48" s="5" t="s">
        <v>179</v>
      </c>
      <c r="E48" s="5" t="s">
        <v>106</v>
      </c>
      <c r="F48" s="5"/>
      <c r="G48" s="5" t="s">
        <v>107</v>
      </c>
      <c r="H48" s="6" t="b">
        <v>1</v>
      </c>
      <c r="I48" s="6" t="b">
        <v>0</v>
      </c>
      <c r="J48" s="5"/>
      <c r="K48" s="5"/>
    </row>
    <row r="49" spans="1:11">
      <c r="A49" s="5">
        <v>48</v>
      </c>
      <c r="B49" s="5" t="s">
        <v>180</v>
      </c>
      <c r="C49" s="5" t="s">
        <v>180</v>
      </c>
      <c r="D49" s="5" t="s">
        <v>181</v>
      </c>
      <c r="E49" s="5" t="s">
        <v>89</v>
      </c>
      <c r="F49" s="5"/>
      <c r="G49" s="5" t="s">
        <v>90</v>
      </c>
      <c r="H49" s="6" t="b">
        <v>0</v>
      </c>
      <c r="I49" s="6" t="b">
        <v>1</v>
      </c>
      <c r="J49" s="5"/>
      <c r="K49" s="5"/>
    </row>
    <row r="50" spans="1:11">
      <c r="A50" s="5">
        <v>49</v>
      </c>
      <c r="B50" s="5" t="s">
        <v>182</v>
      </c>
      <c r="C50" s="5" t="s">
        <v>182</v>
      </c>
      <c r="D50" s="5" t="s">
        <v>183</v>
      </c>
      <c r="E50" s="5" t="s">
        <v>89</v>
      </c>
      <c r="F50" s="5"/>
      <c r="G50" s="5" t="s">
        <v>90</v>
      </c>
      <c r="H50" s="6" t="b">
        <v>0</v>
      </c>
      <c r="I50" s="6" t="b">
        <v>1</v>
      </c>
      <c r="J50" s="5"/>
      <c r="K50" s="5"/>
    </row>
    <row r="51" spans="1:11">
      <c r="A51" s="5">
        <v>50</v>
      </c>
      <c r="B51" s="5" t="s">
        <v>184</v>
      </c>
      <c r="C51" s="5" t="s">
        <v>184</v>
      </c>
      <c r="D51" s="5" t="s">
        <v>185</v>
      </c>
      <c r="E51" s="5" t="s">
        <v>89</v>
      </c>
      <c r="F51" s="5"/>
      <c r="G51" s="5" t="s">
        <v>90</v>
      </c>
      <c r="H51" s="6" t="b">
        <v>0</v>
      </c>
      <c r="I51" s="6" t="b">
        <v>1</v>
      </c>
      <c r="J51" s="5"/>
      <c r="K51" s="5"/>
    </row>
    <row r="52" spans="1:11">
      <c r="A52" s="5">
        <v>51</v>
      </c>
      <c r="B52" s="5" t="s">
        <v>186</v>
      </c>
      <c r="C52" s="5" t="s">
        <v>186</v>
      </c>
      <c r="D52" s="5" t="s">
        <v>187</v>
      </c>
      <c r="E52" s="5" t="s">
        <v>89</v>
      </c>
      <c r="F52" s="5"/>
      <c r="G52" s="5" t="s">
        <v>90</v>
      </c>
      <c r="H52" s="6" t="b">
        <v>0</v>
      </c>
      <c r="I52" s="6" t="b">
        <v>0</v>
      </c>
      <c r="J52" s="5"/>
      <c r="K52" s="5"/>
    </row>
    <row r="53" spans="1:11">
      <c r="A53" s="5">
        <v>52</v>
      </c>
      <c r="B53" s="5" t="s">
        <v>188</v>
      </c>
      <c r="C53" s="5" t="s">
        <v>188</v>
      </c>
      <c r="D53" s="5" t="s">
        <v>189</v>
      </c>
      <c r="E53" s="5" t="s">
        <v>97</v>
      </c>
      <c r="F53" s="5"/>
      <c r="G53" s="5" t="s">
        <v>98</v>
      </c>
      <c r="H53" s="6" t="b">
        <v>1</v>
      </c>
      <c r="I53" s="6" t="b">
        <v>0</v>
      </c>
      <c r="J53" s="5"/>
      <c r="K53" s="5"/>
    </row>
    <row r="54" spans="1:11">
      <c r="A54" s="5">
        <v>53</v>
      </c>
      <c r="B54" s="5" t="s">
        <v>190</v>
      </c>
      <c r="C54" s="5" t="s">
        <v>190</v>
      </c>
      <c r="D54" s="5" t="s">
        <v>191</v>
      </c>
      <c r="E54" s="5" t="s">
        <v>89</v>
      </c>
      <c r="F54" s="5"/>
      <c r="G54" s="5" t="s">
        <v>192</v>
      </c>
      <c r="H54" s="6" t="b">
        <v>0</v>
      </c>
      <c r="I54" s="6" t="b">
        <v>0</v>
      </c>
      <c r="J54" s="5"/>
      <c r="K54" s="5"/>
    </row>
    <row r="55" spans="1:11">
      <c r="A55" s="5">
        <v>54</v>
      </c>
      <c r="B55" s="5" t="s">
        <v>193</v>
      </c>
      <c r="C55" s="5" t="s">
        <v>193</v>
      </c>
      <c r="D55" s="5" t="s">
        <v>194</v>
      </c>
      <c r="E55" s="5" t="s">
        <v>89</v>
      </c>
      <c r="F55" s="5"/>
      <c r="G55" s="5" t="s">
        <v>192</v>
      </c>
      <c r="H55" s="6" t="b">
        <v>0</v>
      </c>
      <c r="I55" s="6" t="b">
        <v>0</v>
      </c>
      <c r="J55" s="5"/>
      <c r="K55" s="5"/>
    </row>
    <row r="56" spans="1:11">
      <c r="A56" s="5">
        <v>55</v>
      </c>
      <c r="B56" s="5" t="s">
        <v>195</v>
      </c>
      <c r="C56" s="5" t="s">
        <v>195</v>
      </c>
      <c r="D56" s="5" t="s">
        <v>196</v>
      </c>
      <c r="E56" s="5" t="s">
        <v>89</v>
      </c>
      <c r="F56" s="5"/>
      <c r="G56" s="5" t="s">
        <v>192</v>
      </c>
      <c r="H56" s="6" t="b">
        <v>0</v>
      </c>
      <c r="I56" s="6" t="b">
        <v>0</v>
      </c>
      <c r="J56" s="5"/>
      <c r="K56" s="5"/>
    </row>
    <row r="57" spans="1:11">
      <c r="A57" s="5">
        <v>56</v>
      </c>
      <c r="B57" s="5" t="s">
        <v>197</v>
      </c>
      <c r="C57" s="5" t="s">
        <v>197</v>
      </c>
      <c r="D57" s="5" t="s">
        <v>198</v>
      </c>
      <c r="E57" s="5" t="s">
        <v>89</v>
      </c>
      <c r="F57" s="5"/>
      <c r="G57" s="5" t="s">
        <v>199</v>
      </c>
      <c r="H57" s="6" t="b">
        <v>0</v>
      </c>
      <c r="I57" s="6" t="b">
        <v>0</v>
      </c>
      <c r="J57" s="5"/>
      <c r="K57" s="5"/>
    </row>
    <row r="58" spans="1:11">
      <c r="A58" s="5">
        <v>57</v>
      </c>
      <c r="B58" s="5" t="s">
        <v>200</v>
      </c>
      <c r="C58" s="5" t="s">
        <v>200</v>
      </c>
      <c r="D58" s="5" t="s">
        <v>201</v>
      </c>
      <c r="E58" s="5" t="s">
        <v>89</v>
      </c>
      <c r="F58" s="5"/>
      <c r="G58" s="5" t="s">
        <v>199</v>
      </c>
      <c r="H58" s="6" t="b">
        <v>0</v>
      </c>
      <c r="I58" s="6" t="b">
        <v>0</v>
      </c>
      <c r="J58" s="5"/>
      <c r="K58" s="5"/>
    </row>
    <row r="59" spans="1:11">
      <c r="A59" s="5">
        <v>58</v>
      </c>
      <c r="B59" s="5" t="s">
        <v>202</v>
      </c>
      <c r="C59" s="5" t="s">
        <v>202</v>
      </c>
      <c r="D59" s="5" t="s">
        <v>203</v>
      </c>
      <c r="E59" s="5" t="s">
        <v>89</v>
      </c>
      <c r="F59" s="5"/>
      <c r="G59" s="5" t="s">
        <v>199</v>
      </c>
      <c r="H59" s="6" t="b">
        <v>0</v>
      </c>
      <c r="I59" s="6" t="b">
        <v>0</v>
      </c>
      <c r="J59" s="5"/>
      <c r="K59" s="5"/>
    </row>
    <row r="60" spans="1:11">
      <c r="A60" s="5">
        <v>59</v>
      </c>
      <c r="B60" s="5" t="s">
        <v>204</v>
      </c>
      <c r="C60" s="5" t="s">
        <v>204</v>
      </c>
      <c r="D60" s="5" t="s">
        <v>205</v>
      </c>
      <c r="E60" s="5" t="s">
        <v>97</v>
      </c>
      <c r="F60" s="5"/>
      <c r="G60" s="5" t="s">
        <v>206</v>
      </c>
      <c r="H60" s="6" t="b">
        <v>1</v>
      </c>
      <c r="I60" s="6" t="b">
        <v>0</v>
      </c>
      <c r="J60" s="5"/>
      <c r="K60" s="5"/>
    </row>
    <row r="61" spans="1:11">
      <c r="A61" s="5">
        <v>60</v>
      </c>
      <c r="B61" s="5" t="s">
        <v>207</v>
      </c>
      <c r="C61" s="5" t="s">
        <v>207</v>
      </c>
      <c r="D61" s="5" t="s">
        <v>208</v>
      </c>
      <c r="E61" s="5" t="s">
        <v>209</v>
      </c>
      <c r="F61" s="5"/>
      <c r="G61" s="5" t="s">
        <v>210</v>
      </c>
      <c r="H61" s="6" t="b">
        <v>0</v>
      </c>
      <c r="I61" s="6" t="b">
        <v>0</v>
      </c>
      <c r="J61" s="5"/>
      <c r="K61" s="5"/>
    </row>
    <row r="62" spans="1:11">
      <c r="A62" s="5">
        <v>61</v>
      </c>
      <c r="B62" s="5" t="s">
        <v>211</v>
      </c>
      <c r="C62" s="5" t="s">
        <v>211</v>
      </c>
      <c r="D62" s="5" t="s">
        <v>212</v>
      </c>
      <c r="E62" s="5" t="s">
        <v>209</v>
      </c>
      <c r="F62" s="5"/>
      <c r="G62" s="5" t="s">
        <v>210</v>
      </c>
      <c r="H62" s="6" t="b">
        <v>0</v>
      </c>
      <c r="I62" s="6" t="b">
        <v>0</v>
      </c>
      <c r="J62" s="5"/>
      <c r="K62" s="5"/>
    </row>
    <row r="63" spans="1:11">
      <c r="A63" s="5">
        <v>62</v>
      </c>
      <c r="B63" s="5" t="s">
        <v>213</v>
      </c>
      <c r="C63" s="5" t="s">
        <v>213</v>
      </c>
      <c r="D63" s="5" t="s">
        <v>214</v>
      </c>
      <c r="E63" s="5" t="s">
        <v>215</v>
      </c>
      <c r="F63" s="5"/>
      <c r="G63" s="5" t="s">
        <v>216</v>
      </c>
      <c r="H63" s="6" t="b">
        <v>1</v>
      </c>
      <c r="I63" s="6" t="b">
        <v>0</v>
      </c>
      <c r="J63" s="5"/>
      <c r="K63" s="5"/>
    </row>
    <row r="64" spans="1:11">
      <c r="A64" s="5">
        <v>63</v>
      </c>
      <c r="B64" s="5" t="s">
        <v>217</v>
      </c>
      <c r="C64" s="5" t="s">
        <v>217</v>
      </c>
      <c r="D64" s="5" t="s">
        <v>218</v>
      </c>
      <c r="E64" s="5" t="s">
        <v>215</v>
      </c>
      <c r="F64" s="5"/>
      <c r="G64" s="5" t="s">
        <v>216</v>
      </c>
      <c r="H64" s="6" t="b">
        <v>1</v>
      </c>
      <c r="I64" s="6" t="b">
        <v>0</v>
      </c>
      <c r="J64" s="5"/>
      <c r="K64" s="5"/>
    </row>
    <row r="65" spans="1:11">
      <c r="A65" s="5">
        <v>64</v>
      </c>
      <c r="B65" s="5" t="s">
        <v>219</v>
      </c>
      <c r="C65" s="5" t="s">
        <v>219</v>
      </c>
      <c r="D65" s="5" t="s">
        <v>220</v>
      </c>
      <c r="E65" s="5" t="s">
        <v>209</v>
      </c>
      <c r="F65" s="5"/>
      <c r="G65" s="5" t="s">
        <v>210</v>
      </c>
      <c r="H65" s="6" t="b">
        <v>0</v>
      </c>
      <c r="I65" s="6" t="b">
        <v>0</v>
      </c>
      <c r="J65" s="5"/>
      <c r="K65" s="5"/>
    </row>
    <row r="66" spans="1:11">
      <c r="A66" s="5">
        <v>65</v>
      </c>
      <c r="B66" s="5" t="s">
        <v>221</v>
      </c>
      <c r="C66" s="5" t="s">
        <v>221</v>
      </c>
      <c r="D66" s="5" t="s">
        <v>222</v>
      </c>
      <c r="E66" s="5" t="s">
        <v>209</v>
      </c>
      <c r="F66" s="5"/>
      <c r="G66" s="5" t="s">
        <v>210</v>
      </c>
      <c r="H66" s="6" t="b">
        <v>0</v>
      </c>
      <c r="I66" s="6" t="b">
        <v>0</v>
      </c>
      <c r="J66" s="5"/>
      <c r="K66" s="5"/>
    </row>
    <row r="67" spans="1:11">
      <c r="A67" s="5">
        <v>66</v>
      </c>
      <c r="B67" s="5" t="s">
        <v>223</v>
      </c>
      <c r="C67" s="5" t="s">
        <v>223</v>
      </c>
      <c r="D67" s="5" t="s">
        <v>224</v>
      </c>
      <c r="E67" s="5" t="s">
        <v>209</v>
      </c>
      <c r="F67" s="5"/>
      <c r="G67" s="5" t="s">
        <v>210</v>
      </c>
      <c r="H67" s="6" t="b">
        <v>0</v>
      </c>
      <c r="I67" s="6" t="b">
        <v>0</v>
      </c>
      <c r="J67" s="5"/>
      <c r="K67" s="5"/>
    </row>
    <row r="68" spans="1:11">
      <c r="A68" s="5">
        <v>67</v>
      </c>
      <c r="B68" s="5" t="s">
        <v>225</v>
      </c>
      <c r="C68" s="5" t="s">
        <v>225</v>
      </c>
      <c r="D68" s="5" t="s">
        <v>226</v>
      </c>
      <c r="E68" s="5" t="s">
        <v>209</v>
      </c>
      <c r="F68" s="5"/>
      <c r="G68" s="5" t="s">
        <v>210</v>
      </c>
      <c r="H68" s="6" t="b">
        <v>0</v>
      </c>
      <c r="I68" s="6" t="b">
        <v>0</v>
      </c>
      <c r="J68" s="5"/>
      <c r="K68" s="5"/>
    </row>
    <row r="69" spans="1:11">
      <c r="A69" s="5">
        <v>68</v>
      </c>
      <c r="B69" s="5" t="s">
        <v>227</v>
      </c>
      <c r="C69" s="5" t="s">
        <v>227</v>
      </c>
      <c r="D69" s="5" t="s">
        <v>228</v>
      </c>
      <c r="E69" s="5" t="s">
        <v>209</v>
      </c>
      <c r="F69" s="5"/>
      <c r="G69" s="5" t="s">
        <v>210</v>
      </c>
      <c r="H69" s="6" t="b">
        <v>0</v>
      </c>
      <c r="I69" s="6" t="b">
        <v>1</v>
      </c>
      <c r="J69" s="5" t="s">
        <v>229</v>
      </c>
      <c r="K69" s="5"/>
    </row>
    <row r="70" spans="1:11">
      <c r="A70" s="5">
        <v>69</v>
      </c>
      <c r="B70" s="5" t="s">
        <v>230</v>
      </c>
      <c r="C70" s="5" t="s">
        <v>230</v>
      </c>
      <c r="D70" s="5" t="s">
        <v>231</v>
      </c>
      <c r="E70" s="5" t="s">
        <v>209</v>
      </c>
      <c r="F70" s="5"/>
      <c r="G70" s="5" t="s">
        <v>210</v>
      </c>
      <c r="H70" s="6" t="b">
        <v>0</v>
      </c>
      <c r="I70" s="6" t="b">
        <v>0</v>
      </c>
      <c r="J70" s="5"/>
      <c r="K70" s="5"/>
    </row>
    <row r="71" spans="1:11">
      <c r="A71" s="5">
        <v>70</v>
      </c>
      <c r="B71" s="5" t="s">
        <v>232</v>
      </c>
      <c r="C71" s="5" t="s">
        <v>232</v>
      </c>
      <c r="D71" s="5" t="s">
        <v>233</v>
      </c>
      <c r="E71" s="5" t="s">
        <v>234</v>
      </c>
      <c r="F71" s="5"/>
      <c r="G71" s="5" t="s">
        <v>235</v>
      </c>
      <c r="H71" s="6" t="b">
        <v>1</v>
      </c>
      <c r="I71" s="6" t="b">
        <v>0</v>
      </c>
      <c r="J71" s="5"/>
      <c r="K71" s="5"/>
    </row>
    <row r="72" spans="1:11">
      <c r="A72" s="5">
        <v>71</v>
      </c>
      <c r="B72" s="5" t="s">
        <v>236</v>
      </c>
      <c r="C72" s="5" t="s">
        <v>236</v>
      </c>
      <c r="D72" s="5" t="s">
        <v>237</v>
      </c>
      <c r="E72" s="5" t="s">
        <v>209</v>
      </c>
      <c r="F72" s="5"/>
      <c r="G72" s="5" t="s">
        <v>210</v>
      </c>
      <c r="H72" s="6" t="b">
        <v>0</v>
      </c>
      <c r="I72" s="6" t="b">
        <v>1</v>
      </c>
      <c r="J72" s="5"/>
      <c r="K72" s="5"/>
    </row>
    <row r="73" spans="1:11">
      <c r="A73" s="5">
        <v>72</v>
      </c>
      <c r="B73" s="5" t="s">
        <v>238</v>
      </c>
      <c r="C73" s="5" t="s">
        <v>238</v>
      </c>
      <c r="D73" s="5" t="s">
        <v>239</v>
      </c>
      <c r="E73" s="5" t="s">
        <v>215</v>
      </c>
      <c r="F73" s="5"/>
      <c r="G73" s="5" t="s">
        <v>216</v>
      </c>
      <c r="H73" s="6" t="b">
        <v>1</v>
      </c>
      <c r="I73" s="6" t="b">
        <v>0</v>
      </c>
      <c r="J73" s="5"/>
      <c r="K73" s="5"/>
    </row>
    <row r="74" spans="1:11">
      <c r="A74" s="5">
        <v>73</v>
      </c>
      <c r="B74" s="5" t="s">
        <v>240</v>
      </c>
      <c r="C74" s="5" t="s">
        <v>240</v>
      </c>
      <c r="D74" s="5" t="s">
        <v>241</v>
      </c>
      <c r="E74" s="5" t="s">
        <v>209</v>
      </c>
      <c r="F74" s="5"/>
      <c r="G74" s="5" t="s">
        <v>210</v>
      </c>
      <c r="H74" s="6" t="b">
        <v>0</v>
      </c>
      <c r="I74" s="6" t="b">
        <v>0</v>
      </c>
      <c r="J74" s="5"/>
      <c r="K74" s="5"/>
    </row>
    <row r="75" spans="1:11">
      <c r="A75" s="5">
        <v>74</v>
      </c>
      <c r="B75" s="5" t="s">
        <v>242</v>
      </c>
      <c r="C75" s="5" t="s">
        <v>242</v>
      </c>
      <c r="D75" s="5" t="s">
        <v>243</v>
      </c>
      <c r="E75" s="5" t="s">
        <v>209</v>
      </c>
      <c r="F75" s="5"/>
      <c r="G75" s="5" t="s">
        <v>210</v>
      </c>
      <c r="H75" s="6" t="b">
        <v>0</v>
      </c>
      <c r="I75" s="6" t="b">
        <v>0</v>
      </c>
      <c r="J75" s="5"/>
      <c r="K75" s="5"/>
    </row>
    <row r="76" spans="1:11">
      <c r="A76" s="5">
        <v>75</v>
      </c>
      <c r="B76" s="5" t="s">
        <v>244</v>
      </c>
      <c r="C76" s="5" t="s">
        <v>244</v>
      </c>
      <c r="D76" s="5" t="s">
        <v>245</v>
      </c>
      <c r="E76" s="5" t="s">
        <v>209</v>
      </c>
      <c r="F76" s="5"/>
      <c r="G76" s="5" t="s">
        <v>210</v>
      </c>
      <c r="H76" s="6" t="b">
        <v>0</v>
      </c>
      <c r="I76" s="6" t="b">
        <v>0</v>
      </c>
      <c r="J76" s="5"/>
      <c r="K76" s="5"/>
    </row>
    <row r="77" spans="1:11">
      <c r="A77" s="5">
        <v>76</v>
      </c>
      <c r="B77" s="5" t="s">
        <v>246</v>
      </c>
      <c r="C77" s="5" t="s">
        <v>246</v>
      </c>
      <c r="D77" s="5" t="s">
        <v>247</v>
      </c>
      <c r="E77" s="5" t="s">
        <v>209</v>
      </c>
      <c r="F77" s="5"/>
      <c r="G77" s="5" t="s">
        <v>210</v>
      </c>
      <c r="H77" s="6" t="b">
        <v>0</v>
      </c>
      <c r="I77" s="6" t="b">
        <v>0</v>
      </c>
      <c r="J77" s="5"/>
      <c r="K77" s="5"/>
    </row>
    <row r="78" spans="1:11">
      <c r="A78" s="5">
        <v>77</v>
      </c>
      <c r="B78" s="5" t="s">
        <v>248</v>
      </c>
      <c r="C78" s="5" t="s">
        <v>248</v>
      </c>
      <c r="D78" s="5" t="s">
        <v>249</v>
      </c>
      <c r="E78" s="5" t="s">
        <v>209</v>
      </c>
      <c r="F78" s="5"/>
      <c r="G78" s="5" t="s">
        <v>210</v>
      </c>
      <c r="H78" s="6" t="b">
        <v>0</v>
      </c>
      <c r="I78" s="6" t="b">
        <v>0</v>
      </c>
      <c r="J78" s="5"/>
      <c r="K78" s="5"/>
    </row>
    <row r="79" spans="1:11">
      <c r="A79" s="5">
        <v>78</v>
      </c>
      <c r="B79" s="5" t="s">
        <v>250</v>
      </c>
      <c r="C79" s="5" t="s">
        <v>250</v>
      </c>
      <c r="D79" s="5" t="s">
        <v>251</v>
      </c>
      <c r="E79" s="5" t="s">
        <v>252</v>
      </c>
      <c r="F79" s="5"/>
      <c r="G79" s="5" t="s">
        <v>253</v>
      </c>
      <c r="H79" s="6" t="b">
        <v>1</v>
      </c>
      <c r="I79" s="6" t="b">
        <v>0</v>
      </c>
      <c r="J79" s="5"/>
      <c r="K79" s="5"/>
    </row>
    <row r="80" spans="1:11">
      <c r="A80" s="5">
        <v>79</v>
      </c>
      <c r="B80" s="5" t="s">
        <v>254</v>
      </c>
      <c r="C80" s="5" t="s">
        <v>254</v>
      </c>
      <c r="D80" s="5" t="s">
        <v>255</v>
      </c>
      <c r="E80" s="5" t="s">
        <v>209</v>
      </c>
      <c r="F80" s="5"/>
      <c r="G80" s="5" t="s">
        <v>210</v>
      </c>
      <c r="H80" s="6" t="b">
        <v>0</v>
      </c>
      <c r="I80" s="6" t="b">
        <v>0</v>
      </c>
      <c r="J80" s="5"/>
      <c r="K80" s="5"/>
    </row>
    <row r="81" spans="1:11">
      <c r="A81" s="5">
        <v>80</v>
      </c>
      <c r="B81" s="5" t="s">
        <v>256</v>
      </c>
      <c r="C81" s="5" t="s">
        <v>256</v>
      </c>
      <c r="D81" s="5" t="s">
        <v>257</v>
      </c>
      <c r="E81" s="5" t="s">
        <v>209</v>
      </c>
      <c r="F81" s="5"/>
      <c r="G81" s="5" t="s">
        <v>210</v>
      </c>
      <c r="H81" s="6" t="b">
        <v>0</v>
      </c>
      <c r="I81" s="6" t="b">
        <v>0</v>
      </c>
      <c r="J81" s="5"/>
      <c r="K81" s="5"/>
    </row>
    <row r="82" spans="1:11">
      <c r="A82" s="5">
        <v>81</v>
      </c>
      <c r="B82" s="5" t="s">
        <v>258</v>
      </c>
      <c r="C82" s="5" t="s">
        <v>258</v>
      </c>
      <c r="D82" s="5" t="s">
        <v>259</v>
      </c>
      <c r="E82" s="5" t="s">
        <v>209</v>
      </c>
      <c r="F82" s="5"/>
      <c r="G82" s="5" t="s">
        <v>210</v>
      </c>
      <c r="H82" s="6" t="b">
        <v>0</v>
      </c>
      <c r="I82" s="6" t="b">
        <v>0</v>
      </c>
      <c r="J82" s="5"/>
      <c r="K82" s="5"/>
    </row>
    <row r="83" spans="1:11">
      <c r="A83" s="5">
        <v>82</v>
      </c>
      <c r="B83" s="5" t="s">
        <v>260</v>
      </c>
      <c r="C83" s="5" t="s">
        <v>260</v>
      </c>
      <c r="D83" s="5" t="s">
        <v>261</v>
      </c>
      <c r="E83" s="5" t="s">
        <v>209</v>
      </c>
      <c r="F83" s="5"/>
      <c r="G83" s="5" t="s">
        <v>210</v>
      </c>
      <c r="H83" s="6" t="b">
        <v>0</v>
      </c>
      <c r="I83" s="6" t="b">
        <v>0</v>
      </c>
      <c r="J83" s="5"/>
      <c r="K83" s="5"/>
    </row>
    <row r="84" spans="1:11">
      <c r="A84" s="5">
        <v>83</v>
      </c>
      <c r="B84" s="5" t="s">
        <v>262</v>
      </c>
      <c r="C84" s="5" t="s">
        <v>262</v>
      </c>
      <c r="D84" s="5" t="s">
        <v>263</v>
      </c>
      <c r="E84" s="5" t="s">
        <v>209</v>
      </c>
      <c r="F84" s="5"/>
      <c r="G84" s="5" t="s">
        <v>210</v>
      </c>
      <c r="H84" s="6" t="b">
        <v>0</v>
      </c>
      <c r="I84" s="6" t="b">
        <v>0</v>
      </c>
      <c r="J84" s="5"/>
      <c r="K84" s="5"/>
    </row>
    <row r="85" spans="1:11">
      <c r="A85" s="5">
        <v>84</v>
      </c>
      <c r="B85" s="5" t="s">
        <v>264</v>
      </c>
      <c r="C85" s="5" t="s">
        <v>264</v>
      </c>
      <c r="D85" s="5" t="s">
        <v>265</v>
      </c>
      <c r="E85" s="5" t="s">
        <v>209</v>
      </c>
      <c r="F85" s="5"/>
      <c r="G85" s="5" t="s">
        <v>210</v>
      </c>
      <c r="H85" s="6" t="b">
        <v>0</v>
      </c>
      <c r="I85" s="6" t="b">
        <v>1</v>
      </c>
      <c r="J85" s="5"/>
      <c r="K85" s="5"/>
    </row>
    <row r="86" spans="1:11">
      <c r="A86" s="5">
        <v>85</v>
      </c>
      <c r="B86" s="5" t="s">
        <v>266</v>
      </c>
      <c r="C86" s="5" t="s">
        <v>266</v>
      </c>
      <c r="D86" s="5" t="s">
        <v>267</v>
      </c>
      <c r="E86" s="5" t="s">
        <v>209</v>
      </c>
      <c r="F86" s="5"/>
      <c r="G86" s="5" t="s">
        <v>210</v>
      </c>
      <c r="H86" s="6" t="b">
        <v>0</v>
      </c>
      <c r="I86" s="6" t="b">
        <v>0</v>
      </c>
      <c r="J86" s="5"/>
      <c r="K86" s="5"/>
    </row>
    <row r="87" spans="1:11">
      <c r="A87" s="5">
        <v>86</v>
      </c>
      <c r="B87" s="5" t="s">
        <v>268</v>
      </c>
      <c r="C87" s="5" t="s">
        <v>268</v>
      </c>
      <c r="D87" s="5" t="s">
        <v>269</v>
      </c>
      <c r="E87" s="5" t="s">
        <v>209</v>
      </c>
      <c r="F87" s="5"/>
      <c r="G87" s="5" t="s">
        <v>210</v>
      </c>
      <c r="H87" s="6" t="b">
        <v>0</v>
      </c>
      <c r="I87" s="6" t="b">
        <v>0</v>
      </c>
      <c r="J87" s="5"/>
      <c r="K87" s="5"/>
    </row>
    <row r="88" spans="1:11">
      <c r="A88" s="5">
        <v>87</v>
      </c>
      <c r="B88" s="5" t="s">
        <v>270</v>
      </c>
      <c r="C88" s="5" t="s">
        <v>270</v>
      </c>
      <c r="D88" s="5" t="s">
        <v>271</v>
      </c>
      <c r="E88" s="5" t="s">
        <v>209</v>
      </c>
      <c r="F88" s="5"/>
      <c r="G88" s="5" t="s">
        <v>210</v>
      </c>
      <c r="H88" s="6" t="b">
        <v>0</v>
      </c>
      <c r="I88" s="6" t="b">
        <v>0</v>
      </c>
      <c r="J88" s="5"/>
      <c r="K88" s="5"/>
    </row>
    <row r="89" spans="1:11">
      <c r="A89" s="5">
        <v>88</v>
      </c>
      <c r="B89" s="5" t="s">
        <v>272</v>
      </c>
      <c r="C89" s="5" t="s">
        <v>272</v>
      </c>
      <c r="D89" s="5" t="s">
        <v>273</v>
      </c>
      <c r="E89" s="5" t="s">
        <v>274</v>
      </c>
      <c r="F89" s="5"/>
      <c r="G89" s="5" t="s">
        <v>275</v>
      </c>
      <c r="H89" s="6" t="b">
        <v>1</v>
      </c>
      <c r="I89" s="6" t="b">
        <v>0</v>
      </c>
      <c r="J89" s="5"/>
      <c r="K89" s="5"/>
    </row>
    <row r="90" spans="1:11">
      <c r="A90" s="5">
        <v>89</v>
      </c>
      <c r="B90" s="5" t="s">
        <v>276</v>
      </c>
      <c r="C90" s="5" t="s">
        <v>276</v>
      </c>
      <c r="D90" s="5" t="s">
        <v>277</v>
      </c>
      <c r="E90" s="5" t="s">
        <v>209</v>
      </c>
      <c r="F90" s="5"/>
      <c r="G90" s="5" t="s">
        <v>210</v>
      </c>
      <c r="H90" s="6" t="b">
        <v>0</v>
      </c>
      <c r="I90" s="6" t="b">
        <v>0</v>
      </c>
      <c r="J90" s="5"/>
      <c r="K90" s="5"/>
    </row>
    <row r="91" spans="1:11">
      <c r="A91" s="5">
        <v>90</v>
      </c>
      <c r="B91" s="5" t="s">
        <v>278</v>
      </c>
      <c r="C91" s="5" t="s">
        <v>278</v>
      </c>
      <c r="D91" s="5" t="s">
        <v>279</v>
      </c>
      <c r="E91" s="5" t="s">
        <v>280</v>
      </c>
      <c r="F91" s="5"/>
      <c r="G91" s="5" t="s">
        <v>281</v>
      </c>
      <c r="H91" s="6" t="b">
        <v>1</v>
      </c>
      <c r="I91" s="6" t="b">
        <v>0</v>
      </c>
      <c r="J91" s="5"/>
      <c r="K91" s="5"/>
    </row>
    <row r="92" spans="1:11">
      <c r="A92" s="5">
        <v>91</v>
      </c>
      <c r="B92" s="5" t="s">
        <v>282</v>
      </c>
      <c r="C92" s="5" t="s">
        <v>282</v>
      </c>
      <c r="D92" s="5" t="s">
        <v>283</v>
      </c>
      <c r="E92" s="5" t="s">
        <v>284</v>
      </c>
      <c r="F92" s="5"/>
      <c r="G92" s="5" t="s">
        <v>285</v>
      </c>
      <c r="H92" s="6" t="b">
        <v>0</v>
      </c>
      <c r="I92" s="6" t="b">
        <v>0</v>
      </c>
      <c r="J92" s="5" t="s">
        <v>286</v>
      </c>
      <c r="K92" s="5"/>
    </row>
    <row r="93" spans="1:11">
      <c r="A93" s="5">
        <v>92</v>
      </c>
      <c r="B93" s="5" t="s">
        <v>287</v>
      </c>
      <c r="C93" s="5" t="s">
        <v>287</v>
      </c>
      <c r="D93" s="5" t="s">
        <v>288</v>
      </c>
      <c r="E93" s="5" t="s">
        <v>284</v>
      </c>
      <c r="F93" s="5"/>
      <c r="G93" s="5" t="s">
        <v>285</v>
      </c>
      <c r="H93" s="6" t="b">
        <v>0</v>
      </c>
      <c r="I93" s="6" t="b">
        <v>0</v>
      </c>
      <c r="J93" s="5"/>
      <c r="K93" s="5"/>
    </row>
    <row r="94" spans="1:11">
      <c r="A94" s="5">
        <v>93</v>
      </c>
      <c r="B94" s="5" t="s">
        <v>289</v>
      </c>
      <c r="C94" s="5" t="s">
        <v>289</v>
      </c>
      <c r="D94" s="5" t="s">
        <v>290</v>
      </c>
      <c r="E94" s="5" t="s">
        <v>291</v>
      </c>
      <c r="F94" s="5"/>
      <c r="G94" s="5" t="s">
        <v>292</v>
      </c>
      <c r="H94" s="6" t="b">
        <v>1</v>
      </c>
      <c r="I94" s="6" t="b">
        <v>0</v>
      </c>
      <c r="J94" s="5"/>
      <c r="K94" s="5"/>
    </row>
    <row r="95" spans="1:11">
      <c r="A95" s="5">
        <v>94</v>
      </c>
      <c r="B95" s="5" t="s">
        <v>293</v>
      </c>
      <c r="C95" s="5" t="s">
        <v>293</v>
      </c>
      <c r="D95" s="5" t="s">
        <v>294</v>
      </c>
      <c r="E95" s="5" t="s">
        <v>284</v>
      </c>
      <c r="F95" s="5"/>
      <c r="G95" s="5" t="s">
        <v>285</v>
      </c>
      <c r="H95" s="6" t="b">
        <v>0</v>
      </c>
      <c r="I95" s="6" t="b">
        <v>0</v>
      </c>
      <c r="J95" s="5"/>
      <c r="K95" s="5"/>
    </row>
    <row r="96" spans="1:11">
      <c r="A96" s="5">
        <v>95</v>
      </c>
      <c r="B96" s="5" t="s">
        <v>295</v>
      </c>
      <c r="C96" s="5" t="s">
        <v>295</v>
      </c>
      <c r="D96" s="5" t="s">
        <v>296</v>
      </c>
      <c r="E96" s="5" t="s">
        <v>284</v>
      </c>
      <c r="F96" s="5"/>
      <c r="G96" s="5" t="s">
        <v>285</v>
      </c>
      <c r="H96" s="6" t="b">
        <v>0</v>
      </c>
      <c r="I96" s="6" t="b">
        <v>0</v>
      </c>
      <c r="J96" s="5"/>
      <c r="K96" s="5"/>
    </row>
    <row r="97" spans="1:11">
      <c r="A97" s="5">
        <v>96</v>
      </c>
      <c r="B97" s="5" t="s">
        <v>297</v>
      </c>
      <c r="C97" s="5" t="s">
        <v>297</v>
      </c>
      <c r="D97" s="5" t="s">
        <v>298</v>
      </c>
      <c r="E97" s="5" t="s">
        <v>284</v>
      </c>
      <c r="F97" s="5"/>
      <c r="G97" s="5" t="s">
        <v>285</v>
      </c>
      <c r="H97" s="6" t="b">
        <v>0</v>
      </c>
      <c r="I97" s="6" t="b">
        <v>0</v>
      </c>
      <c r="J97" s="5"/>
      <c r="K97" s="5"/>
    </row>
    <row r="98" spans="1:11">
      <c r="A98" s="5">
        <v>97</v>
      </c>
      <c r="B98" s="5" t="s">
        <v>299</v>
      </c>
      <c r="C98" s="5" t="s">
        <v>299</v>
      </c>
      <c r="D98" s="5" t="s">
        <v>300</v>
      </c>
      <c r="E98" s="5" t="s">
        <v>284</v>
      </c>
      <c r="F98" s="5"/>
      <c r="G98" s="5" t="s">
        <v>285</v>
      </c>
      <c r="H98" s="6" t="b">
        <v>0</v>
      </c>
      <c r="I98" s="6" t="b">
        <v>0</v>
      </c>
      <c r="J98" s="5"/>
      <c r="K98" s="5"/>
    </row>
    <row r="99" spans="1:11">
      <c r="A99" s="5">
        <v>98</v>
      </c>
      <c r="B99" s="5" t="s">
        <v>301</v>
      </c>
      <c r="C99" s="5" t="s">
        <v>301</v>
      </c>
      <c r="D99" s="5" t="s">
        <v>302</v>
      </c>
      <c r="E99" s="5" t="s">
        <v>284</v>
      </c>
      <c r="F99" s="5"/>
      <c r="G99" s="5" t="s">
        <v>285</v>
      </c>
      <c r="H99" s="6" t="b">
        <v>0</v>
      </c>
      <c r="I99" s="6" t="b">
        <v>0</v>
      </c>
      <c r="J99" s="5"/>
      <c r="K99" s="5"/>
    </row>
    <row r="100" spans="1:11">
      <c r="A100" s="5">
        <v>99</v>
      </c>
      <c r="B100" s="5" t="s">
        <v>303</v>
      </c>
      <c r="C100" s="5" t="s">
        <v>303</v>
      </c>
      <c r="D100" s="5" t="s">
        <v>304</v>
      </c>
      <c r="E100" s="5" t="s">
        <v>284</v>
      </c>
      <c r="F100" s="5"/>
      <c r="G100" s="5" t="s">
        <v>285</v>
      </c>
      <c r="H100" s="6" t="b">
        <v>0</v>
      </c>
      <c r="I100" s="6" t="b">
        <v>0</v>
      </c>
      <c r="J100" s="5"/>
      <c r="K100" s="5"/>
    </row>
    <row r="101" spans="1:11">
      <c r="A101" s="5">
        <v>100</v>
      </c>
      <c r="B101" s="5" t="s">
        <v>305</v>
      </c>
      <c r="C101" s="5" t="s">
        <v>305</v>
      </c>
      <c r="D101" s="5" t="s">
        <v>306</v>
      </c>
      <c r="E101" s="5" t="s">
        <v>284</v>
      </c>
      <c r="F101" s="5"/>
      <c r="G101" s="5" t="s">
        <v>285</v>
      </c>
      <c r="H101" s="6" t="b">
        <v>0</v>
      </c>
      <c r="I101" s="6" t="b">
        <v>0</v>
      </c>
      <c r="J101" s="5"/>
      <c r="K101" s="5"/>
    </row>
    <row r="102" spans="1:11">
      <c r="A102" s="5">
        <v>101</v>
      </c>
      <c r="B102" s="5" t="s">
        <v>307</v>
      </c>
      <c r="C102" s="5" t="s">
        <v>307</v>
      </c>
      <c r="D102" s="5" t="s">
        <v>308</v>
      </c>
      <c r="E102" s="5" t="s">
        <v>284</v>
      </c>
      <c r="F102" s="5"/>
      <c r="G102" s="5" t="s">
        <v>285</v>
      </c>
      <c r="H102" s="6" t="b">
        <v>0</v>
      </c>
      <c r="I102" s="6" t="b">
        <v>0</v>
      </c>
      <c r="J102" s="5"/>
      <c r="K102" s="5"/>
    </row>
    <row r="103" spans="1:11">
      <c r="A103" s="5">
        <v>102</v>
      </c>
      <c r="B103" s="5" t="s">
        <v>309</v>
      </c>
      <c r="C103" s="5" t="s">
        <v>309</v>
      </c>
      <c r="D103" s="5" t="s">
        <v>310</v>
      </c>
      <c r="E103" s="5" t="s">
        <v>284</v>
      </c>
      <c r="F103" s="5"/>
      <c r="G103" s="5" t="s">
        <v>285</v>
      </c>
      <c r="H103" s="6" t="b">
        <v>0</v>
      </c>
      <c r="I103" s="6" t="b">
        <v>1</v>
      </c>
      <c r="J103" s="5"/>
      <c r="K103" s="5"/>
    </row>
    <row r="104" spans="1:11">
      <c r="A104" s="5">
        <v>103</v>
      </c>
      <c r="B104" s="5" t="s">
        <v>311</v>
      </c>
      <c r="C104" s="5" t="s">
        <v>311</v>
      </c>
      <c r="D104" s="5" t="s">
        <v>312</v>
      </c>
      <c r="E104" s="5" t="s">
        <v>284</v>
      </c>
      <c r="F104" s="5"/>
      <c r="G104" s="5" t="s">
        <v>285</v>
      </c>
      <c r="H104" s="6" t="b">
        <v>0</v>
      </c>
      <c r="I104" s="6" t="b">
        <v>0</v>
      </c>
      <c r="J104" s="5"/>
      <c r="K104" s="5"/>
    </row>
    <row r="105" spans="1:11">
      <c r="A105" s="5">
        <v>104</v>
      </c>
      <c r="B105" s="5" t="s">
        <v>313</v>
      </c>
      <c r="C105" s="5" t="s">
        <v>313</v>
      </c>
      <c r="D105" s="5" t="s">
        <v>314</v>
      </c>
      <c r="E105" s="5" t="s">
        <v>284</v>
      </c>
      <c r="F105" s="5"/>
      <c r="G105" s="5" t="s">
        <v>285</v>
      </c>
      <c r="H105" s="6" t="b">
        <v>0</v>
      </c>
      <c r="I105" s="6" t="b">
        <v>0</v>
      </c>
      <c r="J105" s="5"/>
      <c r="K105" s="5"/>
    </row>
    <row r="106" spans="1:11">
      <c r="A106" s="5">
        <v>105</v>
      </c>
      <c r="B106" s="5" t="s">
        <v>315</v>
      </c>
      <c r="C106" s="5" t="s">
        <v>315</v>
      </c>
      <c r="D106" s="5" t="s">
        <v>316</v>
      </c>
      <c r="E106" s="5" t="s">
        <v>284</v>
      </c>
      <c r="F106" s="5"/>
      <c r="G106" s="5" t="s">
        <v>285</v>
      </c>
      <c r="H106" s="6" t="b">
        <v>0</v>
      </c>
      <c r="I106" s="6" t="b">
        <v>1</v>
      </c>
      <c r="J106" s="5" t="s">
        <v>317</v>
      </c>
      <c r="K106" s="5"/>
    </row>
    <row r="107" spans="1:11">
      <c r="A107" s="5">
        <v>106</v>
      </c>
      <c r="B107" s="5" t="s">
        <v>318</v>
      </c>
      <c r="C107" s="5" t="s">
        <v>318</v>
      </c>
      <c r="D107" s="5" t="s">
        <v>319</v>
      </c>
      <c r="E107" s="5" t="s">
        <v>320</v>
      </c>
      <c r="F107" s="5"/>
      <c r="G107" s="5" t="s">
        <v>321</v>
      </c>
      <c r="H107" s="6" t="b">
        <v>1</v>
      </c>
      <c r="I107" s="6" t="b">
        <v>0</v>
      </c>
      <c r="J107" s="5"/>
      <c r="K107" s="5"/>
    </row>
    <row r="108" spans="1:11">
      <c r="A108" s="5">
        <v>107</v>
      </c>
      <c r="B108" s="5" t="s">
        <v>322</v>
      </c>
      <c r="C108" s="5" t="s">
        <v>322</v>
      </c>
      <c r="D108" s="5" t="s">
        <v>323</v>
      </c>
      <c r="E108" s="5" t="s">
        <v>284</v>
      </c>
      <c r="F108" s="5"/>
      <c r="G108" s="5" t="s">
        <v>285</v>
      </c>
      <c r="H108" s="6" t="b">
        <v>0</v>
      </c>
      <c r="I108" s="6" t="b">
        <v>0</v>
      </c>
      <c r="J108" s="5"/>
      <c r="K108" s="5"/>
    </row>
    <row r="109" spans="1:11">
      <c r="A109" s="5">
        <v>108</v>
      </c>
      <c r="B109" s="5" t="s">
        <v>324</v>
      </c>
      <c r="C109" s="5" t="s">
        <v>324</v>
      </c>
      <c r="D109" s="5" t="s">
        <v>325</v>
      </c>
      <c r="E109" s="5" t="s">
        <v>284</v>
      </c>
      <c r="F109" s="5"/>
      <c r="G109" s="5" t="s">
        <v>285</v>
      </c>
      <c r="H109" s="6" t="b">
        <v>0</v>
      </c>
      <c r="I109" s="6" t="b">
        <v>0</v>
      </c>
      <c r="J109" s="5"/>
      <c r="K109" s="5"/>
    </row>
    <row r="110" spans="1:11">
      <c r="A110" s="5">
        <v>109</v>
      </c>
      <c r="B110" s="5" t="s">
        <v>326</v>
      </c>
      <c r="C110" s="5" t="s">
        <v>326</v>
      </c>
      <c r="D110" s="5" t="s">
        <v>327</v>
      </c>
      <c r="E110" s="5" t="s">
        <v>284</v>
      </c>
      <c r="F110" s="5"/>
      <c r="G110" s="5" t="s">
        <v>285</v>
      </c>
      <c r="H110" s="6" t="b">
        <v>0</v>
      </c>
      <c r="I110" s="6" t="b">
        <v>0</v>
      </c>
      <c r="J110" s="5"/>
      <c r="K110" s="5"/>
    </row>
    <row r="111" spans="1:11">
      <c r="A111" s="5">
        <v>110</v>
      </c>
      <c r="B111" s="5" t="s">
        <v>328</v>
      </c>
      <c r="C111" s="5" t="s">
        <v>328</v>
      </c>
      <c r="D111" s="5" t="s">
        <v>329</v>
      </c>
      <c r="E111" s="5" t="s">
        <v>291</v>
      </c>
      <c r="F111" s="5"/>
      <c r="G111" s="5" t="s">
        <v>292</v>
      </c>
      <c r="H111" s="6" t="b">
        <v>1</v>
      </c>
      <c r="I111" s="6" t="b">
        <v>0</v>
      </c>
      <c r="J111" s="5" t="s">
        <v>330</v>
      </c>
      <c r="K111" s="5"/>
    </row>
    <row r="112" spans="1:11">
      <c r="A112" s="5">
        <v>111</v>
      </c>
      <c r="B112" s="5" t="s">
        <v>331</v>
      </c>
      <c r="C112" s="5" t="s">
        <v>331</v>
      </c>
      <c r="D112" s="5" t="s">
        <v>332</v>
      </c>
      <c r="E112" s="5" t="s">
        <v>284</v>
      </c>
      <c r="F112" s="5"/>
      <c r="G112" s="5" t="s">
        <v>285</v>
      </c>
      <c r="H112" s="6" t="b">
        <v>0</v>
      </c>
      <c r="I112" s="6" t="b">
        <v>0</v>
      </c>
      <c r="J112" s="5"/>
      <c r="K112" s="5"/>
    </row>
    <row r="113" spans="1:11">
      <c r="A113" s="5">
        <v>112</v>
      </c>
      <c r="B113" s="5" t="s">
        <v>333</v>
      </c>
      <c r="C113" s="5" t="s">
        <v>333</v>
      </c>
      <c r="D113" s="5" t="s">
        <v>334</v>
      </c>
      <c r="E113" s="5" t="s">
        <v>335</v>
      </c>
      <c r="F113" s="5"/>
      <c r="G113" s="5" t="s">
        <v>336</v>
      </c>
      <c r="H113" s="6" t="b">
        <v>0</v>
      </c>
      <c r="I113" s="6" t="b">
        <v>0</v>
      </c>
      <c r="J113" s="5"/>
      <c r="K113" s="5"/>
    </row>
    <row r="114" spans="1:11">
      <c r="A114" s="5">
        <v>113</v>
      </c>
      <c r="B114" s="5" t="s">
        <v>337</v>
      </c>
      <c r="C114" s="5" t="s">
        <v>337</v>
      </c>
      <c r="D114" s="5" t="s">
        <v>338</v>
      </c>
      <c r="E114" s="5" t="s">
        <v>335</v>
      </c>
      <c r="F114" s="5"/>
      <c r="G114" s="5" t="s">
        <v>336</v>
      </c>
      <c r="H114" s="6" t="b">
        <v>0</v>
      </c>
      <c r="I114" s="6" t="b">
        <v>0</v>
      </c>
      <c r="J114" s="5"/>
      <c r="K114" s="5"/>
    </row>
    <row r="115" spans="1:11">
      <c r="A115" s="5">
        <v>114</v>
      </c>
      <c r="B115" s="5" t="s">
        <v>339</v>
      </c>
      <c r="C115" s="5" t="s">
        <v>339</v>
      </c>
      <c r="D115" s="5" t="s">
        <v>340</v>
      </c>
      <c r="E115" s="5" t="s">
        <v>335</v>
      </c>
      <c r="F115" s="5"/>
      <c r="G115" s="5" t="s">
        <v>336</v>
      </c>
      <c r="H115" s="6" t="b">
        <v>0</v>
      </c>
      <c r="I115" s="6" t="b">
        <v>0</v>
      </c>
      <c r="J115" s="5"/>
      <c r="K115" s="5"/>
    </row>
    <row r="116" spans="1:11">
      <c r="A116" s="5">
        <v>115</v>
      </c>
      <c r="B116" s="5" t="s">
        <v>341</v>
      </c>
      <c r="C116" s="5" t="s">
        <v>341</v>
      </c>
      <c r="D116" s="5" t="s">
        <v>342</v>
      </c>
      <c r="E116" s="5" t="s">
        <v>335</v>
      </c>
      <c r="F116" s="5"/>
      <c r="G116" s="5" t="s">
        <v>336</v>
      </c>
      <c r="H116" s="6" t="b">
        <v>0</v>
      </c>
      <c r="I116" s="6" t="b">
        <v>0</v>
      </c>
      <c r="J116" s="5"/>
      <c r="K116" s="5"/>
    </row>
    <row r="117" spans="1:11">
      <c r="A117" s="5">
        <v>116</v>
      </c>
      <c r="B117" s="5" t="s">
        <v>343</v>
      </c>
      <c r="C117" s="5" t="s">
        <v>343</v>
      </c>
      <c r="D117" s="5" t="s">
        <v>344</v>
      </c>
      <c r="E117" s="5" t="s">
        <v>335</v>
      </c>
      <c r="F117" s="5"/>
      <c r="G117" s="5" t="s">
        <v>336</v>
      </c>
      <c r="H117" s="6" t="b">
        <v>0</v>
      </c>
      <c r="I117" s="6" t="b">
        <v>0</v>
      </c>
      <c r="J117" s="5"/>
      <c r="K117" s="5"/>
    </row>
    <row r="118" spans="1:11">
      <c r="A118" s="5">
        <v>117</v>
      </c>
      <c r="B118" s="5" t="s">
        <v>345</v>
      </c>
      <c r="C118" s="5" t="s">
        <v>345</v>
      </c>
      <c r="D118" s="5" t="s">
        <v>346</v>
      </c>
      <c r="E118" s="5" t="s">
        <v>335</v>
      </c>
      <c r="F118" s="5"/>
      <c r="G118" s="5" t="s">
        <v>336</v>
      </c>
      <c r="H118" s="6" t="b">
        <v>0</v>
      </c>
      <c r="I118" s="6" t="b">
        <v>0</v>
      </c>
      <c r="J118" s="5"/>
      <c r="K118" s="5"/>
    </row>
    <row r="119" spans="1:11">
      <c r="A119" s="5">
        <v>118</v>
      </c>
      <c r="B119" s="5" t="s">
        <v>347</v>
      </c>
      <c r="C119" s="5" t="s">
        <v>347</v>
      </c>
      <c r="D119" s="5" t="s">
        <v>348</v>
      </c>
      <c r="E119" s="5" t="s">
        <v>335</v>
      </c>
      <c r="F119" s="5"/>
      <c r="G119" s="5" t="s">
        <v>336</v>
      </c>
      <c r="H119" s="6" t="b">
        <v>0</v>
      </c>
      <c r="I119" s="6" t="b">
        <v>0</v>
      </c>
      <c r="J119" s="5"/>
      <c r="K119" s="5"/>
    </row>
    <row r="120" spans="1:11">
      <c r="A120" s="5">
        <v>119</v>
      </c>
      <c r="B120" s="5" t="s">
        <v>349</v>
      </c>
      <c r="C120" s="5" t="s">
        <v>349</v>
      </c>
      <c r="D120" s="5" t="s">
        <v>350</v>
      </c>
      <c r="E120" s="5" t="s">
        <v>335</v>
      </c>
      <c r="F120" s="5"/>
      <c r="G120" s="5" t="s">
        <v>336</v>
      </c>
      <c r="H120" s="6" t="b">
        <v>0</v>
      </c>
      <c r="I120" s="6" t="b">
        <v>0</v>
      </c>
      <c r="J120" s="5"/>
      <c r="K120" s="5"/>
    </row>
    <row r="121" spans="1:11">
      <c r="A121" s="5">
        <v>120</v>
      </c>
      <c r="B121" s="5" t="s">
        <v>351</v>
      </c>
      <c r="C121" s="5" t="s">
        <v>351</v>
      </c>
      <c r="D121" s="5" t="s">
        <v>352</v>
      </c>
      <c r="E121" s="5" t="s">
        <v>335</v>
      </c>
      <c r="F121" s="5"/>
      <c r="G121" s="5" t="s">
        <v>336</v>
      </c>
      <c r="H121" s="6" t="b">
        <v>0</v>
      </c>
      <c r="I121" s="6" t="b">
        <v>0</v>
      </c>
      <c r="J121" s="5"/>
      <c r="K121" s="5"/>
    </row>
    <row r="122" spans="1:11">
      <c r="A122" s="5">
        <v>121</v>
      </c>
      <c r="B122" s="5" t="s">
        <v>353</v>
      </c>
      <c r="C122" s="5" t="s">
        <v>353</v>
      </c>
      <c r="D122" s="5" t="s">
        <v>354</v>
      </c>
      <c r="E122" s="5" t="s">
        <v>335</v>
      </c>
      <c r="F122" s="5"/>
      <c r="G122" s="5" t="s">
        <v>336</v>
      </c>
      <c r="H122" s="6" t="b">
        <v>0</v>
      </c>
      <c r="I122" s="6" t="b">
        <v>0</v>
      </c>
      <c r="J122" s="5"/>
      <c r="K122" s="5"/>
    </row>
    <row r="123" spans="1:11">
      <c r="A123" s="5">
        <v>122</v>
      </c>
      <c r="B123" s="5" t="s">
        <v>355</v>
      </c>
      <c r="C123" s="5" t="s">
        <v>355</v>
      </c>
      <c r="D123" s="5" t="s">
        <v>356</v>
      </c>
      <c r="E123" s="5" t="s">
        <v>335</v>
      </c>
      <c r="F123" s="5"/>
      <c r="G123" s="5" t="s">
        <v>336</v>
      </c>
      <c r="H123" s="6" t="b">
        <v>0</v>
      </c>
      <c r="I123" s="6" t="b">
        <v>0</v>
      </c>
      <c r="J123" s="5"/>
      <c r="K123" s="5"/>
    </row>
    <row r="124" spans="1:11">
      <c r="A124" s="5">
        <v>123</v>
      </c>
      <c r="B124" s="5" t="s">
        <v>357</v>
      </c>
      <c r="C124" s="5" t="s">
        <v>357</v>
      </c>
      <c r="D124" s="5" t="s">
        <v>358</v>
      </c>
      <c r="E124" s="5" t="s">
        <v>335</v>
      </c>
      <c r="F124" s="5"/>
      <c r="G124" s="5" t="s">
        <v>336</v>
      </c>
      <c r="H124" s="6" t="b">
        <v>0</v>
      </c>
      <c r="I124" s="6" t="b">
        <v>0</v>
      </c>
      <c r="J124" s="5"/>
      <c r="K124" s="5"/>
    </row>
    <row r="125" spans="1:11">
      <c r="A125" s="5">
        <v>124</v>
      </c>
      <c r="B125" s="5" t="s">
        <v>359</v>
      </c>
      <c r="C125" s="5" t="s">
        <v>359</v>
      </c>
      <c r="D125" s="5" t="s">
        <v>360</v>
      </c>
      <c r="E125" s="5" t="s">
        <v>335</v>
      </c>
      <c r="F125" s="5"/>
      <c r="G125" s="5" t="s">
        <v>336</v>
      </c>
      <c r="H125" s="6" t="b">
        <v>0</v>
      </c>
      <c r="I125" s="6" t="b">
        <v>0</v>
      </c>
      <c r="J125" s="5"/>
      <c r="K125" s="5"/>
    </row>
    <row r="126" spans="1:11">
      <c r="A126" s="5">
        <v>125</v>
      </c>
      <c r="B126" s="5" t="s">
        <v>361</v>
      </c>
      <c r="C126" s="5" t="s">
        <v>361</v>
      </c>
      <c r="D126" s="5" t="s">
        <v>362</v>
      </c>
      <c r="E126" s="5" t="s">
        <v>335</v>
      </c>
      <c r="F126" s="5"/>
      <c r="G126" s="5" t="s">
        <v>336</v>
      </c>
      <c r="H126" s="6" t="b">
        <v>0</v>
      </c>
      <c r="I126" s="6" t="b">
        <v>0</v>
      </c>
      <c r="J126" s="5"/>
      <c r="K126" s="5"/>
    </row>
    <row r="127" spans="1:11">
      <c r="A127" s="5">
        <v>126</v>
      </c>
      <c r="B127" s="5" t="s">
        <v>363</v>
      </c>
      <c r="C127" s="5" t="s">
        <v>363</v>
      </c>
      <c r="D127" s="5" t="s">
        <v>364</v>
      </c>
      <c r="E127" s="5" t="s">
        <v>335</v>
      </c>
      <c r="F127" s="5"/>
      <c r="G127" s="5" t="s">
        <v>336</v>
      </c>
      <c r="H127" s="6" t="b">
        <v>0</v>
      </c>
      <c r="I127" s="6" t="b">
        <v>0</v>
      </c>
      <c r="J127" s="5"/>
      <c r="K127" s="5"/>
    </row>
    <row r="128" spans="1:11">
      <c r="A128" s="5">
        <v>127</v>
      </c>
      <c r="B128" s="5" t="s">
        <v>365</v>
      </c>
      <c r="C128" s="5" t="s">
        <v>365</v>
      </c>
      <c r="D128" s="5" t="s">
        <v>366</v>
      </c>
      <c r="E128" s="5" t="s">
        <v>335</v>
      </c>
      <c r="F128" s="5"/>
      <c r="G128" s="5" t="s">
        <v>336</v>
      </c>
      <c r="H128" s="6" t="b">
        <v>0</v>
      </c>
      <c r="I128" s="6" t="b">
        <v>1</v>
      </c>
      <c r="J128" s="5"/>
      <c r="K128" s="5"/>
    </row>
    <row r="129" spans="1:11">
      <c r="A129" s="5">
        <v>128</v>
      </c>
      <c r="B129" s="5" t="s">
        <v>367</v>
      </c>
      <c r="C129" s="5" t="s">
        <v>367</v>
      </c>
      <c r="D129" s="5" t="s">
        <v>368</v>
      </c>
      <c r="E129" s="5" t="s">
        <v>335</v>
      </c>
      <c r="F129" s="5"/>
      <c r="G129" s="5" t="s">
        <v>336</v>
      </c>
      <c r="H129" s="6" t="b">
        <v>0</v>
      </c>
      <c r="I129" s="6" t="b">
        <v>0</v>
      </c>
      <c r="J129" s="5"/>
      <c r="K129" s="5"/>
    </row>
    <row r="130" spans="1:11">
      <c r="A130" s="5">
        <v>129</v>
      </c>
      <c r="B130" s="5" t="s">
        <v>369</v>
      </c>
      <c r="C130" s="5" t="s">
        <v>369</v>
      </c>
      <c r="D130" s="5" t="s">
        <v>370</v>
      </c>
      <c r="E130" s="5" t="s">
        <v>371</v>
      </c>
      <c r="F130" s="5"/>
      <c r="G130" s="5" t="s">
        <v>372</v>
      </c>
      <c r="H130" s="6" t="b">
        <v>1</v>
      </c>
      <c r="I130" s="6" t="b">
        <v>0</v>
      </c>
      <c r="J130" s="5"/>
      <c r="K130" s="5"/>
    </row>
    <row r="131" spans="1:11">
      <c r="A131" s="5">
        <v>130</v>
      </c>
      <c r="B131" s="5" t="s">
        <v>373</v>
      </c>
      <c r="C131" s="5" t="s">
        <v>373</v>
      </c>
      <c r="D131" s="5" t="s">
        <v>374</v>
      </c>
      <c r="E131" s="5" t="s">
        <v>335</v>
      </c>
      <c r="F131" s="5"/>
      <c r="G131" s="5" t="s">
        <v>336</v>
      </c>
      <c r="H131" s="6" t="b">
        <v>0</v>
      </c>
      <c r="I131" s="6" t="b">
        <v>0</v>
      </c>
      <c r="J131" s="5"/>
      <c r="K131" s="5"/>
    </row>
    <row r="132" spans="1:11">
      <c r="A132" s="5">
        <v>131</v>
      </c>
      <c r="B132" s="5" t="s">
        <v>375</v>
      </c>
      <c r="C132" s="5" t="s">
        <v>375</v>
      </c>
      <c r="D132" s="5" t="s">
        <v>376</v>
      </c>
      <c r="E132" s="5" t="s">
        <v>335</v>
      </c>
      <c r="F132" s="5"/>
      <c r="G132" s="5" t="s">
        <v>336</v>
      </c>
      <c r="H132" s="6" t="b">
        <v>0</v>
      </c>
      <c r="I132" s="6" t="b">
        <v>0</v>
      </c>
      <c r="J132" s="5"/>
      <c r="K132" s="5"/>
    </row>
    <row r="133" spans="1:11">
      <c r="A133" s="5">
        <v>132</v>
      </c>
      <c r="B133" s="5" t="s">
        <v>377</v>
      </c>
      <c r="C133" s="5" t="s">
        <v>377</v>
      </c>
      <c r="D133" s="5" t="s">
        <v>378</v>
      </c>
      <c r="E133" s="5" t="s">
        <v>335</v>
      </c>
      <c r="F133" s="5"/>
      <c r="G133" s="5" t="s">
        <v>336</v>
      </c>
      <c r="H133" s="6" t="b">
        <v>0</v>
      </c>
      <c r="I133" s="6" t="b">
        <v>1</v>
      </c>
      <c r="J133" s="5" t="s">
        <v>379</v>
      </c>
      <c r="K133" s="5"/>
    </row>
    <row r="134" spans="1:11">
      <c r="A134" s="5">
        <v>133</v>
      </c>
      <c r="B134" s="5" t="s">
        <v>380</v>
      </c>
      <c r="C134" s="5" t="s">
        <v>380</v>
      </c>
      <c r="D134" s="5" t="s">
        <v>381</v>
      </c>
      <c r="E134" s="5" t="s">
        <v>371</v>
      </c>
      <c r="F134" s="5"/>
      <c r="G134" s="5" t="s">
        <v>372</v>
      </c>
      <c r="H134" s="6" t="b">
        <v>1</v>
      </c>
      <c r="I134" s="6" t="b">
        <v>0</v>
      </c>
      <c r="J134" s="5"/>
      <c r="K134" s="5"/>
    </row>
    <row r="135" spans="1:11">
      <c r="A135" s="5">
        <v>134</v>
      </c>
      <c r="B135" s="5" t="s">
        <v>382</v>
      </c>
      <c r="C135" s="5" t="s">
        <v>382</v>
      </c>
      <c r="D135" s="5" t="s">
        <v>383</v>
      </c>
      <c r="E135" s="5" t="s">
        <v>335</v>
      </c>
      <c r="F135" s="5"/>
      <c r="G135" s="5" t="s">
        <v>336</v>
      </c>
      <c r="H135" s="6" t="b">
        <v>0</v>
      </c>
      <c r="I135" s="6" t="b">
        <v>0</v>
      </c>
      <c r="J135" s="5"/>
      <c r="K135" s="5"/>
    </row>
    <row r="136" spans="1:11">
      <c r="A136" s="5">
        <v>135</v>
      </c>
      <c r="B136" s="5" t="s">
        <v>384</v>
      </c>
      <c r="C136" s="5" t="s">
        <v>384</v>
      </c>
      <c r="D136" s="5" t="s">
        <v>385</v>
      </c>
      <c r="E136" s="5" t="s">
        <v>335</v>
      </c>
      <c r="F136" s="5"/>
      <c r="G136" s="5" t="s">
        <v>336</v>
      </c>
      <c r="H136" s="6" t="b">
        <v>0</v>
      </c>
      <c r="I136" s="6" t="b">
        <v>0</v>
      </c>
      <c r="J136" s="5"/>
      <c r="K136" s="5"/>
    </row>
    <row r="137" spans="1:11">
      <c r="A137" s="5">
        <v>136</v>
      </c>
      <c r="B137" s="5" t="s">
        <v>386</v>
      </c>
      <c r="C137" s="5" t="s">
        <v>386</v>
      </c>
      <c r="D137" s="5" t="s">
        <v>387</v>
      </c>
      <c r="E137" s="5" t="s">
        <v>335</v>
      </c>
      <c r="F137" s="5"/>
      <c r="G137" s="5" t="s">
        <v>336</v>
      </c>
      <c r="H137" s="6" t="b">
        <v>0</v>
      </c>
      <c r="I137" s="6" t="b">
        <v>0</v>
      </c>
      <c r="J137" s="5"/>
      <c r="K137" s="5"/>
    </row>
    <row r="138" spans="1:11">
      <c r="A138" s="5">
        <v>137</v>
      </c>
      <c r="B138" s="5" t="s">
        <v>388</v>
      </c>
      <c r="C138" s="5" t="s">
        <v>388</v>
      </c>
      <c r="D138" s="5" t="s">
        <v>389</v>
      </c>
      <c r="E138" s="5" t="s">
        <v>335</v>
      </c>
      <c r="F138" s="5"/>
      <c r="G138" s="5" t="s">
        <v>336</v>
      </c>
      <c r="H138" s="6" t="b">
        <v>0</v>
      </c>
      <c r="I138" s="6" t="b">
        <v>0</v>
      </c>
      <c r="J138" s="5"/>
      <c r="K138" s="5"/>
    </row>
    <row r="139" spans="1:11">
      <c r="A139" s="5">
        <v>138</v>
      </c>
      <c r="B139" s="5" t="s">
        <v>390</v>
      </c>
      <c r="C139" s="5" t="s">
        <v>390</v>
      </c>
      <c r="D139" s="5" t="s">
        <v>391</v>
      </c>
      <c r="E139" s="5" t="s">
        <v>335</v>
      </c>
      <c r="F139" s="5"/>
      <c r="G139" s="5" t="s">
        <v>336</v>
      </c>
      <c r="H139" s="6" t="b">
        <v>0</v>
      </c>
      <c r="I139" s="6" t="b">
        <v>0</v>
      </c>
      <c r="J139" s="5"/>
      <c r="K139" s="5"/>
    </row>
    <row r="140" spans="1:11">
      <c r="A140" s="5">
        <v>139</v>
      </c>
      <c r="B140" s="5" t="s">
        <v>392</v>
      </c>
      <c r="C140" s="5" t="s">
        <v>392</v>
      </c>
      <c r="D140" s="5" t="s">
        <v>393</v>
      </c>
      <c r="E140" s="5" t="s">
        <v>394</v>
      </c>
      <c r="F140" s="5"/>
      <c r="G140" s="5" t="s">
        <v>395</v>
      </c>
      <c r="H140" s="6" t="b">
        <v>1</v>
      </c>
      <c r="I140" s="6" t="b">
        <v>0</v>
      </c>
      <c r="J140" s="5"/>
      <c r="K140" s="5"/>
    </row>
    <row r="141" spans="1:11">
      <c r="A141" s="5">
        <v>140</v>
      </c>
      <c r="B141" s="5" t="s">
        <v>396</v>
      </c>
      <c r="C141" s="5" t="s">
        <v>396</v>
      </c>
      <c r="D141" s="5" t="s">
        <v>397</v>
      </c>
      <c r="E141" s="5" t="s">
        <v>335</v>
      </c>
      <c r="F141" s="5"/>
      <c r="G141" s="5" t="s">
        <v>336</v>
      </c>
      <c r="H141" s="6" t="b">
        <v>0</v>
      </c>
      <c r="I141" s="6" t="b">
        <v>0</v>
      </c>
      <c r="J141" s="5"/>
      <c r="K141" s="5"/>
    </row>
    <row r="142" spans="1:11">
      <c r="A142" s="5">
        <v>141</v>
      </c>
      <c r="B142" s="5" t="s">
        <v>398</v>
      </c>
      <c r="C142" s="5" t="s">
        <v>398</v>
      </c>
      <c r="D142" s="5" t="s">
        <v>399</v>
      </c>
      <c r="E142" s="5" t="s">
        <v>335</v>
      </c>
      <c r="F142" s="5"/>
      <c r="G142" s="5" t="s">
        <v>336</v>
      </c>
      <c r="H142" s="6" t="b">
        <v>0</v>
      </c>
      <c r="I142" s="6" t="b">
        <v>1</v>
      </c>
      <c r="J142" s="5"/>
      <c r="K142" s="5"/>
    </row>
    <row r="143" spans="1:11">
      <c r="A143" s="5">
        <v>142</v>
      </c>
      <c r="B143" s="5" t="s">
        <v>400</v>
      </c>
      <c r="C143" s="5" t="s">
        <v>400</v>
      </c>
      <c r="D143" s="5" t="s">
        <v>401</v>
      </c>
      <c r="E143" s="5" t="s">
        <v>402</v>
      </c>
      <c r="F143" s="5"/>
      <c r="G143" s="5" t="s">
        <v>403</v>
      </c>
      <c r="H143" s="6" t="b">
        <v>1</v>
      </c>
      <c r="I143" s="6" t="b">
        <v>0</v>
      </c>
      <c r="J143" s="5"/>
      <c r="K143" s="5"/>
    </row>
    <row r="144" spans="1:11" ht="28.5">
      <c r="A144" s="5">
        <v>143</v>
      </c>
      <c r="B144" s="5" t="s">
        <v>404</v>
      </c>
      <c r="C144" s="5" t="s">
        <v>404</v>
      </c>
      <c r="D144" s="5" t="s">
        <v>405</v>
      </c>
      <c r="E144" s="5" t="s">
        <v>335</v>
      </c>
      <c r="F144" s="5"/>
      <c r="G144" s="5" t="s">
        <v>406</v>
      </c>
      <c r="H144" s="6" t="b">
        <v>0</v>
      </c>
      <c r="I144" s="6" t="b">
        <v>0</v>
      </c>
      <c r="J144" s="5"/>
      <c r="K144" s="5"/>
    </row>
    <row r="145" spans="1:11">
      <c r="A145" s="5">
        <v>144</v>
      </c>
      <c r="B145" s="5" t="s">
        <v>407</v>
      </c>
      <c r="C145" s="5" t="s">
        <v>407</v>
      </c>
      <c r="D145" s="5" t="s">
        <v>408</v>
      </c>
      <c r="E145" s="5" t="s">
        <v>335</v>
      </c>
      <c r="F145" s="5"/>
      <c r="G145" s="5" t="s">
        <v>409</v>
      </c>
      <c r="H145" s="6" t="b">
        <v>0</v>
      </c>
      <c r="I145" s="6" t="b">
        <v>0</v>
      </c>
      <c r="J145" s="5"/>
      <c r="K145" s="5"/>
    </row>
    <row r="146" spans="1:11">
      <c r="A146" s="5">
        <v>145</v>
      </c>
      <c r="B146" s="5" t="s">
        <v>410</v>
      </c>
      <c r="C146" s="5" t="s">
        <v>410</v>
      </c>
      <c r="D146" s="5" t="s">
        <v>411</v>
      </c>
      <c r="E146" s="5" t="s">
        <v>335</v>
      </c>
      <c r="F146" s="5"/>
      <c r="G146" s="5" t="s">
        <v>409</v>
      </c>
      <c r="H146" s="6" t="b">
        <v>0</v>
      </c>
      <c r="I146" s="6" t="b">
        <v>0</v>
      </c>
      <c r="J146" s="5"/>
      <c r="K146" s="5"/>
    </row>
    <row r="147" spans="1:11">
      <c r="A147" s="5">
        <v>146</v>
      </c>
      <c r="B147" s="5" t="s">
        <v>412</v>
      </c>
      <c r="C147" s="5" t="s">
        <v>412</v>
      </c>
      <c r="D147" s="5" t="s">
        <v>413</v>
      </c>
      <c r="E147" s="5" t="s">
        <v>335</v>
      </c>
      <c r="F147" s="5"/>
      <c r="G147" s="5" t="s">
        <v>409</v>
      </c>
      <c r="H147" s="6" t="b">
        <v>0</v>
      </c>
      <c r="I147" s="6" t="b">
        <v>0</v>
      </c>
      <c r="J147" s="5"/>
      <c r="K147" s="5"/>
    </row>
    <row r="148" spans="1:11">
      <c r="A148" s="5">
        <v>147</v>
      </c>
      <c r="B148" s="5" t="s">
        <v>414</v>
      </c>
      <c r="C148" s="5" t="s">
        <v>414</v>
      </c>
      <c r="D148" s="5" t="s">
        <v>415</v>
      </c>
      <c r="E148" s="5" t="s">
        <v>335</v>
      </c>
      <c r="F148" s="5"/>
      <c r="G148" s="5" t="s">
        <v>409</v>
      </c>
      <c r="H148" s="6" t="b">
        <v>0</v>
      </c>
      <c r="I148" s="6" t="b">
        <v>0</v>
      </c>
      <c r="J148" s="5"/>
      <c r="K148" s="5"/>
    </row>
    <row r="149" spans="1:11">
      <c r="A149" s="5">
        <v>148</v>
      </c>
      <c r="B149" s="5" t="s">
        <v>416</v>
      </c>
      <c r="C149" s="5" t="s">
        <v>416</v>
      </c>
      <c r="D149" s="5" t="s">
        <v>417</v>
      </c>
      <c r="E149" s="5" t="s">
        <v>335</v>
      </c>
      <c r="F149" s="5"/>
      <c r="G149" s="5" t="s">
        <v>409</v>
      </c>
      <c r="H149" s="6" t="b">
        <v>0</v>
      </c>
      <c r="I149" s="6" t="b">
        <v>0</v>
      </c>
      <c r="J149" s="5"/>
      <c r="K149" s="5"/>
    </row>
    <row r="150" spans="1:11">
      <c r="A150" s="5">
        <v>149</v>
      </c>
      <c r="B150" s="5" t="s">
        <v>418</v>
      </c>
      <c r="C150" s="5" t="s">
        <v>418</v>
      </c>
      <c r="D150" s="5" t="s">
        <v>419</v>
      </c>
      <c r="E150" s="5" t="s">
        <v>335</v>
      </c>
      <c r="F150" s="5"/>
      <c r="G150" s="5" t="s">
        <v>409</v>
      </c>
      <c r="H150" s="6" t="b">
        <v>0</v>
      </c>
      <c r="I150" s="6" t="b">
        <v>0</v>
      </c>
      <c r="J150" s="5"/>
      <c r="K150" s="5"/>
    </row>
    <row r="151" spans="1:11">
      <c r="A151" s="5">
        <v>150</v>
      </c>
      <c r="B151" s="5" t="s">
        <v>420</v>
      </c>
      <c r="C151" s="5" t="s">
        <v>420</v>
      </c>
      <c r="D151" s="5" t="s">
        <v>421</v>
      </c>
      <c r="E151" s="5" t="s">
        <v>335</v>
      </c>
      <c r="F151" s="5"/>
      <c r="G151" s="5" t="s">
        <v>409</v>
      </c>
      <c r="H151" s="6" t="b">
        <v>0</v>
      </c>
      <c r="I151" s="6" t="b">
        <v>0</v>
      </c>
      <c r="J151" s="5"/>
      <c r="K151" s="5"/>
    </row>
    <row r="152" spans="1:11">
      <c r="A152" s="5">
        <v>151</v>
      </c>
      <c r="B152" s="5" t="s">
        <v>422</v>
      </c>
      <c r="C152" s="5" t="s">
        <v>422</v>
      </c>
      <c r="D152" s="5" t="s">
        <v>423</v>
      </c>
      <c r="E152" s="5" t="s">
        <v>335</v>
      </c>
      <c r="F152" s="5"/>
      <c r="G152" s="5" t="s">
        <v>409</v>
      </c>
      <c r="H152" s="6" t="b">
        <v>0</v>
      </c>
      <c r="I152" s="6" t="b">
        <v>0</v>
      </c>
      <c r="J152" s="5"/>
      <c r="K152" s="5"/>
    </row>
    <row r="153" spans="1:11">
      <c r="A153" s="5">
        <v>152</v>
      </c>
      <c r="B153" s="5" t="s">
        <v>424</v>
      </c>
      <c r="C153" s="5" t="s">
        <v>424</v>
      </c>
      <c r="D153" s="5" t="s">
        <v>425</v>
      </c>
      <c r="E153" s="5" t="s">
        <v>335</v>
      </c>
      <c r="F153" s="5"/>
      <c r="G153" s="5" t="s">
        <v>409</v>
      </c>
      <c r="H153" s="6" t="b">
        <v>0</v>
      </c>
      <c r="I153" s="6" t="b">
        <v>0</v>
      </c>
      <c r="J153" s="5" t="s">
        <v>426</v>
      </c>
      <c r="K153" s="5"/>
    </row>
    <row r="154" spans="1:11">
      <c r="A154" s="5">
        <v>153</v>
      </c>
      <c r="B154" s="5" t="s">
        <v>427</v>
      </c>
      <c r="C154" s="5" t="s">
        <v>427</v>
      </c>
      <c r="D154" s="5" t="s">
        <v>428</v>
      </c>
      <c r="E154" s="5" t="s">
        <v>335</v>
      </c>
      <c r="F154" s="5"/>
      <c r="G154" s="5" t="s">
        <v>409</v>
      </c>
      <c r="H154" s="6" t="b">
        <v>0</v>
      </c>
      <c r="I154" s="6" t="b">
        <v>0</v>
      </c>
      <c r="J154" s="5"/>
      <c r="K154" s="5"/>
    </row>
    <row r="155" spans="1:11">
      <c r="A155" s="5">
        <v>154</v>
      </c>
      <c r="B155" s="5" t="s">
        <v>429</v>
      </c>
      <c r="C155" s="5" t="s">
        <v>429</v>
      </c>
      <c r="D155" s="5" t="s">
        <v>430</v>
      </c>
      <c r="E155" s="5" t="s">
        <v>335</v>
      </c>
      <c r="F155" s="5"/>
      <c r="G155" s="5" t="s">
        <v>431</v>
      </c>
      <c r="H155" s="6" t="b">
        <v>0</v>
      </c>
      <c r="I155" s="6" t="b">
        <v>0</v>
      </c>
      <c r="J155" s="5"/>
      <c r="K155" s="5"/>
    </row>
    <row r="156" spans="1:11">
      <c r="A156" s="5">
        <v>155</v>
      </c>
      <c r="B156" s="5" t="s">
        <v>432</v>
      </c>
      <c r="C156" s="5" t="s">
        <v>432</v>
      </c>
      <c r="D156" s="5" t="s">
        <v>433</v>
      </c>
      <c r="E156" s="5" t="s">
        <v>335</v>
      </c>
      <c r="F156" s="5"/>
      <c r="G156" s="5" t="s">
        <v>431</v>
      </c>
      <c r="H156" s="6" t="b">
        <v>0</v>
      </c>
      <c r="I156" s="6" t="b">
        <v>1</v>
      </c>
      <c r="J156" s="5"/>
      <c r="K156" s="5"/>
    </row>
    <row r="157" spans="1:11">
      <c r="A157" s="5">
        <v>156</v>
      </c>
      <c r="B157" s="5" t="s">
        <v>434</v>
      </c>
      <c r="C157" s="5" t="s">
        <v>434</v>
      </c>
      <c r="D157" s="5" t="s">
        <v>435</v>
      </c>
      <c r="E157" s="5" t="s">
        <v>335</v>
      </c>
      <c r="F157" s="5"/>
      <c r="G157" s="5" t="s">
        <v>431</v>
      </c>
      <c r="H157" s="6" t="b">
        <v>0</v>
      </c>
      <c r="I157" s="6" t="b">
        <v>0</v>
      </c>
      <c r="J157" s="5"/>
      <c r="K157" s="5"/>
    </row>
    <row r="158" spans="1:11">
      <c r="A158" s="5">
        <v>157</v>
      </c>
      <c r="B158" s="5" t="s">
        <v>436</v>
      </c>
      <c r="C158" s="5" t="s">
        <v>436</v>
      </c>
      <c r="D158" s="5" t="s">
        <v>437</v>
      </c>
      <c r="E158" s="5" t="s">
        <v>335</v>
      </c>
      <c r="F158" s="5"/>
      <c r="G158" s="5" t="s">
        <v>431</v>
      </c>
      <c r="H158" s="6" t="b">
        <v>0</v>
      </c>
      <c r="I158" s="6" t="b">
        <v>0</v>
      </c>
      <c r="J158" s="5"/>
      <c r="K158" s="5"/>
    </row>
    <row r="159" spans="1:11">
      <c r="A159" s="5">
        <v>158</v>
      </c>
      <c r="B159" s="5" t="s">
        <v>438</v>
      </c>
      <c r="C159" s="5" t="s">
        <v>438</v>
      </c>
      <c r="D159" s="5" t="s">
        <v>439</v>
      </c>
      <c r="E159" s="5" t="s">
        <v>335</v>
      </c>
      <c r="F159" s="5"/>
      <c r="G159" s="5" t="s">
        <v>431</v>
      </c>
      <c r="H159" s="6" t="b">
        <v>0</v>
      </c>
      <c r="I159" s="6" t="b">
        <v>0</v>
      </c>
      <c r="J159" s="5"/>
      <c r="K159" s="5"/>
    </row>
    <row r="160" spans="1:11">
      <c r="A160" s="5">
        <v>159</v>
      </c>
      <c r="B160" s="5" t="s">
        <v>440</v>
      </c>
      <c r="C160" s="5" t="s">
        <v>440</v>
      </c>
      <c r="D160" s="5" t="s">
        <v>441</v>
      </c>
      <c r="E160" s="5" t="s">
        <v>335</v>
      </c>
      <c r="F160" s="5"/>
      <c r="G160" s="5" t="s">
        <v>431</v>
      </c>
      <c r="H160" s="6" t="b">
        <v>0</v>
      </c>
      <c r="I160" s="6" t="b">
        <v>0</v>
      </c>
      <c r="J160" s="5"/>
      <c r="K160" s="5"/>
    </row>
    <row r="161" spans="1:11">
      <c r="A161" s="5">
        <v>160</v>
      </c>
      <c r="B161" s="5" t="s">
        <v>442</v>
      </c>
      <c r="C161" s="5" t="s">
        <v>442</v>
      </c>
      <c r="D161" s="5" t="s">
        <v>443</v>
      </c>
      <c r="E161" s="5" t="s">
        <v>444</v>
      </c>
      <c r="F161" s="5"/>
      <c r="G161" s="5" t="s">
        <v>445</v>
      </c>
      <c r="H161" s="6" t="b">
        <v>0</v>
      </c>
      <c r="I161" s="6" t="b">
        <v>0</v>
      </c>
      <c r="J161" s="5"/>
      <c r="K161" s="5"/>
    </row>
    <row r="162" spans="1:11">
      <c r="A162" s="5">
        <v>161</v>
      </c>
      <c r="B162" s="5" t="s">
        <v>446</v>
      </c>
      <c r="C162" s="5" t="s">
        <v>446</v>
      </c>
      <c r="D162" s="5" t="s">
        <v>447</v>
      </c>
      <c r="E162" s="5" t="s">
        <v>444</v>
      </c>
      <c r="F162" s="5"/>
      <c r="G162" s="5" t="s">
        <v>445</v>
      </c>
      <c r="H162" s="6" t="b">
        <v>0</v>
      </c>
      <c r="I162" s="6" t="b">
        <v>0</v>
      </c>
      <c r="J162" s="5"/>
      <c r="K162" s="5"/>
    </row>
    <row r="163" spans="1:11">
      <c r="A163" s="5">
        <v>162</v>
      </c>
      <c r="B163" s="5" t="s">
        <v>448</v>
      </c>
      <c r="C163" s="5" t="s">
        <v>448</v>
      </c>
      <c r="D163" s="5" t="s">
        <v>449</v>
      </c>
      <c r="E163" s="5" t="s">
        <v>444</v>
      </c>
      <c r="F163" s="5"/>
      <c r="G163" s="5" t="s">
        <v>445</v>
      </c>
      <c r="H163" s="6" t="b">
        <v>0</v>
      </c>
      <c r="I163" s="6" t="b">
        <v>0</v>
      </c>
      <c r="J163" s="5"/>
      <c r="K163" s="5"/>
    </row>
    <row r="164" spans="1:11">
      <c r="A164" s="5">
        <v>163</v>
      </c>
      <c r="B164" s="5" t="s">
        <v>450</v>
      </c>
      <c r="C164" s="5" t="s">
        <v>450</v>
      </c>
      <c r="D164" s="5" t="s">
        <v>451</v>
      </c>
      <c r="E164" s="5" t="s">
        <v>444</v>
      </c>
      <c r="F164" s="5"/>
      <c r="G164" s="5" t="s">
        <v>445</v>
      </c>
      <c r="H164" s="6" t="b">
        <v>0</v>
      </c>
      <c r="I164" s="6" t="b">
        <v>0</v>
      </c>
      <c r="J164" s="5"/>
      <c r="K164" s="5"/>
    </row>
    <row r="165" spans="1:11">
      <c r="A165" s="5">
        <v>164</v>
      </c>
      <c r="B165" s="5" t="s">
        <v>452</v>
      </c>
      <c r="C165" s="5" t="s">
        <v>452</v>
      </c>
      <c r="D165" s="5" t="s">
        <v>453</v>
      </c>
      <c r="E165" s="5" t="s">
        <v>444</v>
      </c>
      <c r="F165" s="5"/>
      <c r="G165" s="5" t="s">
        <v>445</v>
      </c>
      <c r="H165" s="6" t="b">
        <v>0</v>
      </c>
      <c r="I165" s="6" t="b">
        <v>0</v>
      </c>
      <c r="J165" s="5"/>
      <c r="K165" s="5"/>
    </row>
    <row r="166" spans="1:11">
      <c r="A166" s="5">
        <v>165</v>
      </c>
      <c r="B166" s="5" t="s">
        <v>454</v>
      </c>
      <c r="C166" s="5" t="s">
        <v>454</v>
      </c>
      <c r="D166" s="5" t="s">
        <v>455</v>
      </c>
      <c r="E166" s="5" t="s">
        <v>444</v>
      </c>
      <c r="F166" s="5"/>
      <c r="G166" s="5" t="s">
        <v>445</v>
      </c>
      <c r="H166" s="6" t="b">
        <v>0</v>
      </c>
      <c r="I166" s="6" t="b">
        <v>0</v>
      </c>
      <c r="J166" s="5"/>
      <c r="K166" s="5"/>
    </row>
    <row r="167" spans="1:11">
      <c r="A167" s="5">
        <v>166</v>
      </c>
      <c r="B167" s="5" t="s">
        <v>456</v>
      </c>
      <c r="C167" s="5" t="s">
        <v>456</v>
      </c>
      <c r="D167" s="5" t="s">
        <v>457</v>
      </c>
      <c r="E167" s="5" t="s">
        <v>444</v>
      </c>
      <c r="F167" s="5"/>
      <c r="G167" s="5" t="s">
        <v>445</v>
      </c>
      <c r="H167" s="6" t="b">
        <v>0</v>
      </c>
      <c r="I167" s="6" t="b">
        <v>0</v>
      </c>
      <c r="J167" s="5"/>
      <c r="K167" s="5"/>
    </row>
    <row r="168" spans="1:11">
      <c r="A168" s="5">
        <v>167</v>
      </c>
      <c r="B168" s="5" t="s">
        <v>458</v>
      </c>
      <c r="C168" s="5" t="s">
        <v>458</v>
      </c>
      <c r="D168" s="5" t="s">
        <v>459</v>
      </c>
      <c r="E168" s="5" t="s">
        <v>444</v>
      </c>
      <c r="F168" s="5"/>
      <c r="G168" s="5" t="s">
        <v>445</v>
      </c>
      <c r="H168" s="6" t="b">
        <v>0</v>
      </c>
      <c r="I168" s="6" t="b">
        <v>1</v>
      </c>
      <c r="J168" s="5" t="s">
        <v>460</v>
      </c>
      <c r="K168" s="5"/>
    </row>
    <row r="169" spans="1:11">
      <c r="A169" s="5">
        <v>168</v>
      </c>
      <c r="B169" s="5" t="s">
        <v>461</v>
      </c>
      <c r="C169" s="5" t="s">
        <v>461</v>
      </c>
      <c r="D169" s="5" t="s">
        <v>462</v>
      </c>
      <c r="E169" s="5" t="s">
        <v>444</v>
      </c>
      <c r="F169" s="5"/>
      <c r="G169" s="5" t="s">
        <v>445</v>
      </c>
      <c r="H169" s="6" t="b">
        <v>0</v>
      </c>
      <c r="I169" s="6" t="b">
        <v>0</v>
      </c>
      <c r="J169" s="5"/>
      <c r="K169" s="5"/>
    </row>
    <row r="170" spans="1:11">
      <c r="A170" s="5">
        <v>169</v>
      </c>
      <c r="B170" s="5" t="s">
        <v>463</v>
      </c>
      <c r="C170" s="5" t="s">
        <v>463</v>
      </c>
      <c r="D170" s="5" t="s">
        <v>464</v>
      </c>
      <c r="E170" s="5" t="s">
        <v>444</v>
      </c>
      <c r="F170" s="5"/>
      <c r="G170" s="5" t="s">
        <v>445</v>
      </c>
      <c r="H170" s="6" t="b">
        <v>0</v>
      </c>
      <c r="I170" s="6" t="b">
        <v>0</v>
      </c>
      <c r="J170" s="5"/>
      <c r="K170" s="5"/>
    </row>
    <row r="171" spans="1:11">
      <c r="A171" s="5">
        <v>170</v>
      </c>
      <c r="B171" s="5" t="s">
        <v>465</v>
      </c>
      <c r="C171" s="5" t="s">
        <v>465</v>
      </c>
      <c r="D171" s="5" t="s">
        <v>466</v>
      </c>
      <c r="E171" s="5" t="s">
        <v>444</v>
      </c>
      <c r="F171" s="5"/>
      <c r="G171" s="5" t="s">
        <v>445</v>
      </c>
      <c r="H171" s="6" t="b">
        <v>0</v>
      </c>
      <c r="I171" s="6" t="b">
        <v>1</v>
      </c>
      <c r="J171" s="5"/>
      <c r="K171" s="5"/>
    </row>
    <row r="172" spans="1:11">
      <c r="A172" s="5">
        <v>171</v>
      </c>
      <c r="B172" s="5" t="s">
        <v>467</v>
      </c>
      <c r="C172" s="5" t="s">
        <v>467</v>
      </c>
      <c r="D172" s="5" t="s">
        <v>468</v>
      </c>
      <c r="E172" s="5" t="s">
        <v>444</v>
      </c>
      <c r="F172" s="5"/>
      <c r="G172" s="5" t="s">
        <v>445</v>
      </c>
      <c r="H172" s="6" t="b">
        <v>0</v>
      </c>
      <c r="I172" s="6" t="b">
        <v>0</v>
      </c>
      <c r="J172" s="5"/>
      <c r="K172" s="5"/>
    </row>
    <row r="173" spans="1:11">
      <c r="A173" s="5">
        <v>172</v>
      </c>
      <c r="B173" s="5" t="s">
        <v>469</v>
      </c>
      <c r="C173" s="5" t="s">
        <v>469</v>
      </c>
      <c r="D173" s="5" t="s">
        <v>470</v>
      </c>
      <c r="E173" s="5" t="s">
        <v>444</v>
      </c>
      <c r="F173" s="5"/>
      <c r="G173" s="5" t="s">
        <v>445</v>
      </c>
      <c r="H173" s="6" t="b">
        <v>0</v>
      </c>
      <c r="I173" s="6" t="b">
        <v>0</v>
      </c>
      <c r="J173" s="5"/>
      <c r="K173" s="5"/>
    </row>
    <row r="174" spans="1:11">
      <c r="A174" s="5">
        <v>173</v>
      </c>
      <c r="B174" s="5" t="s">
        <v>471</v>
      </c>
      <c r="C174" s="5" t="s">
        <v>471</v>
      </c>
      <c r="D174" s="5" t="s">
        <v>472</v>
      </c>
      <c r="E174" s="5" t="s">
        <v>444</v>
      </c>
      <c r="F174" s="5"/>
      <c r="G174" s="5" t="s">
        <v>445</v>
      </c>
      <c r="H174" s="6" t="b">
        <v>0</v>
      </c>
      <c r="I174" s="6" t="b">
        <v>0</v>
      </c>
      <c r="J174" s="5"/>
      <c r="K174" s="5"/>
    </row>
    <row r="175" spans="1:11">
      <c r="A175" s="5">
        <v>174</v>
      </c>
      <c r="B175" s="5" t="s">
        <v>473</v>
      </c>
      <c r="C175" s="5" t="s">
        <v>473</v>
      </c>
      <c r="D175" s="5" t="s">
        <v>474</v>
      </c>
      <c r="E175" s="5" t="s">
        <v>444</v>
      </c>
      <c r="F175" s="5"/>
      <c r="G175" s="5" t="s">
        <v>445</v>
      </c>
      <c r="H175" s="6" t="b">
        <v>0</v>
      </c>
      <c r="I175" s="6" t="b">
        <v>0</v>
      </c>
      <c r="J175" s="5"/>
      <c r="K175" s="5"/>
    </row>
    <row r="176" spans="1:11">
      <c r="A176" s="5">
        <v>175</v>
      </c>
      <c r="B176" s="5" t="s">
        <v>475</v>
      </c>
      <c r="C176" s="5" t="s">
        <v>475</v>
      </c>
      <c r="D176" s="5" t="s">
        <v>476</v>
      </c>
      <c r="E176" s="5" t="s">
        <v>444</v>
      </c>
      <c r="F176" s="5"/>
      <c r="G176" s="5" t="s">
        <v>445</v>
      </c>
      <c r="H176" s="6" t="b">
        <v>0</v>
      </c>
      <c r="I176" s="6" t="b">
        <v>1</v>
      </c>
      <c r="J176" s="5"/>
      <c r="K176" s="5"/>
    </row>
    <row r="177" spans="1:11">
      <c r="A177" s="5">
        <v>176</v>
      </c>
      <c r="B177" s="5" t="s">
        <v>477</v>
      </c>
      <c r="C177" s="5" t="s">
        <v>477</v>
      </c>
      <c r="D177" s="5" t="s">
        <v>478</v>
      </c>
      <c r="E177" s="5" t="s">
        <v>444</v>
      </c>
      <c r="F177" s="5"/>
      <c r="G177" s="5" t="s">
        <v>445</v>
      </c>
      <c r="H177" s="6" t="b">
        <v>0</v>
      </c>
      <c r="I177" s="6" t="b">
        <v>1</v>
      </c>
      <c r="J177" s="5"/>
      <c r="K177" s="5"/>
    </row>
    <row r="178" spans="1:11">
      <c r="A178" s="5">
        <v>177</v>
      </c>
      <c r="B178" s="5" t="s">
        <v>479</v>
      </c>
      <c r="C178" s="5" t="s">
        <v>479</v>
      </c>
      <c r="D178" s="5" t="s">
        <v>480</v>
      </c>
      <c r="E178" s="5" t="s">
        <v>444</v>
      </c>
      <c r="F178" s="5"/>
      <c r="G178" s="5" t="s">
        <v>445</v>
      </c>
      <c r="H178" s="6" t="b">
        <v>0</v>
      </c>
      <c r="I178" s="6" t="b">
        <v>0</v>
      </c>
      <c r="J178" s="5"/>
      <c r="K178" s="5"/>
    </row>
    <row r="179" spans="1:11">
      <c r="A179" s="5">
        <v>178</v>
      </c>
      <c r="B179" s="5" t="s">
        <v>481</v>
      </c>
      <c r="C179" s="5" t="s">
        <v>481</v>
      </c>
      <c r="D179" s="5" t="s">
        <v>482</v>
      </c>
      <c r="E179" s="5" t="s">
        <v>444</v>
      </c>
      <c r="F179" s="5"/>
      <c r="G179" s="5" t="s">
        <v>445</v>
      </c>
      <c r="H179" s="6" t="b">
        <v>0</v>
      </c>
      <c r="I179" s="6" t="b">
        <v>0</v>
      </c>
      <c r="J179" s="5"/>
      <c r="K179" s="5"/>
    </row>
    <row r="180" spans="1:11">
      <c r="A180" s="5">
        <v>179</v>
      </c>
      <c r="B180" s="5" t="s">
        <v>483</v>
      </c>
      <c r="C180" s="5" t="s">
        <v>483</v>
      </c>
      <c r="D180" s="5" t="s">
        <v>484</v>
      </c>
      <c r="E180" s="5" t="s">
        <v>444</v>
      </c>
      <c r="F180" s="5"/>
      <c r="G180" s="5" t="s">
        <v>445</v>
      </c>
      <c r="H180" s="6" t="b">
        <v>0</v>
      </c>
      <c r="I180" s="6" t="b">
        <v>0</v>
      </c>
      <c r="J180" s="5"/>
      <c r="K180" s="5"/>
    </row>
    <row r="181" spans="1:11">
      <c r="A181" s="5">
        <v>180</v>
      </c>
      <c r="B181" s="5" t="s">
        <v>485</v>
      </c>
      <c r="C181" s="5" t="s">
        <v>485</v>
      </c>
      <c r="D181" s="5" t="s">
        <v>486</v>
      </c>
      <c r="E181" s="5" t="s">
        <v>444</v>
      </c>
      <c r="F181" s="5"/>
      <c r="G181" s="5" t="s">
        <v>445</v>
      </c>
      <c r="H181" s="6" t="b">
        <v>0</v>
      </c>
      <c r="I181" s="6" t="b">
        <v>1</v>
      </c>
      <c r="J181" s="5" t="s">
        <v>487</v>
      </c>
      <c r="K181" s="5"/>
    </row>
    <row r="182" spans="1:11">
      <c r="A182" s="5">
        <v>181</v>
      </c>
      <c r="B182" s="5" t="s">
        <v>488</v>
      </c>
      <c r="C182" s="5" t="s">
        <v>488</v>
      </c>
      <c r="D182" s="5" t="s">
        <v>489</v>
      </c>
      <c r="E182" s="5" t="s">
        <v>444</v>
      </c>
      <c r="F182" s="5"/>
      <c r="G182" s="5" t="s">
        <v>445</v>
      </c>
      <c r="H182" s="6" t="b">
        <v>0</v>
      </c>
      <c r="I182" s="6" t="b">
        <v>1</v>
      </c>
      <c r="J182" s="5" t="s">
        <v>490</v>
      </c>
      <c r="K182" s="5"/>
    </row>
    <row r="183" spans="1:11">
      <c r="A183" s="5">
        <v>182</v>
      </c>
      <c r="B183" s="5" t="s">
        <v>491</v>
      </c>
      <c r="C183" s="5" t="s">
        <v>491</v>
      </c>
      <c r="D183" s="5" t="s">
        <v>492</v>
      </c>
      <c r="E183" s="5" t="s">
        <v>444</v>
      </c>
      <c r="F183" s="5"/>
      <c r="G183" s="5" t="s">
        <v>445</v>
      </c>
      <c r="H183" s="6" t="b">
        <v>0</v>
      </c>
      <c r="I183" s="6" t="b">
        <v>0</v>
      </c>
      <c r="J183" s="5"/>
      <c r="K183" s="5"/>
    </row>
    <row r="184" spans="1:11">
      <c r="A184" s="5">
        <v>183</v>
      </c>
      <c r="B184" s="5" t="s">
        <v>493</v>
      </c>
      <c r="C184" s="5" t="s">
        <v>493</v>
      </c>
      <c r="D184" s="5" t="s">
        <v>494</v>
      </c>
      <c r="E184" s="5" t="s">
        <v>444</v>
      </c>
      <c r="F184" s="5"/>
      <c r="G184" s="5" t="s">
        <v>445</v>
      </c>
      <c r="H184" s="6" t="b">
        <v>0</v>
      </c>
      <c r="I184" s="6" t="b">
        <v>0</v>
      </c>
      <c r="J184" s="5"/>
      <c r="K184" s="5"/>
    </row>
    <row r="185" spans="1:11">
      <c r="A185" s="5">
        <v>184</v>
      </c>
      <c r="B185" s="5" t="s">
        <v>495</v>
      </c>
      <c r="C185" s="5" t="s">
        <v>495</v>
      </c>
      <c r="D185" s="5" t="s">
        <v>496</v>
      </c>
      <c r="E185" s="5" t="s">
        <v>444</v>
      </c>
      <c r="F185" s="5"/>
      <c r="G185" s="5" t="s">
        <v>445</v>
      </c>
      <c r="H185" s="6" t="b">
        <v>0</v>
      </c>
      <c r="I185" s="6" t="b">
        <v>0</v>
      </c>
      <c r="J185" s="5"/>
      <c r="K185" s="5"/>
    </row>
    <row r="186" spans="1:11">
      <c r="A186" s="5">
        <v>185</v>
      </c>
      <c r="B186" s="5" t="s">
        <v>497</v>
      </c>
      <c r="C186" s="5" t="s">
        <v>497</v>
      </c>
      <c r="D186" s="5" t="s">
        <v>498</v>
      </c>
      <c r="E186" s="5" t="s">
        <v>444</v>
      </c>
      <c r="F186" s="5"/>
      <c r="G186" s="5" t="s">
        <v>445</v>
      </c>
      <c r="H186" s="6" t="b">
        <v>0</v>
      </c>
      <c r="I186" s="6" t="b">
        <v>0</v>
      </c>
      <c r="J186" s="5"/>
      <c r="K186" s="5"/>
    </row>
    <row r="187" spans="1:11">
      <c r="A187" s="5">
        <v>186</v>
      </c>
      <c r="B187" s="5" t="s">
        <v>499</v>
      </c>
      <c r="C187" s="5" t="s">
        <v>499</v>
      </c>
      <c r="D187" s="5" t="s">
        <v>500</v>
      </c>
      <c r="E187" s="5" t="s">
        <v>501</v>
      </c>
      <c r="F187" s="5"/>
      <c r="G187" s="5" t="s">
        <v>502</v>
      </c>
      <c r="H187" s="6" t="b">
        <v>1</v>
      </c>
      <c r="I187" s="6" t="b">
        <v>0</v>
      </c>
      <c r="J187" s="5"/>
      <c r="K187" s="5"/>
    </row>
    <row r="188" spans="1:11">
      <c r="A188" s="5">
        <v>187</v>
      </c>
      <c r="B188" s="5" t="s">
        <v>503</v>
      </c>
      <c r="C188" s="5" t="s">
        <v>503</v>
      </c>
      <c r="D188" s="5" t="s">
        <v>504</v>
      </c>
      <c r="E188" s="5" t="s">
        <v>444</v>
      </c>
      <c r="F188" s="5"/>
      <c r="G188" s="5" t="s">
        <v>445</v>
      </c>
      <c r="H188" s="6" t="b">
        <v>0</v>
      </c>
      <c r="I188" s="6" t="b">
        <v>0</v>
      </c>
      <c r="J188" s="5"/>
      <c r="K188" s="5"/>
    </row>
    <row r="189" spans="1:11">
      <c r="A189" s="5">
        <v>188</v>
      </c>
      <c r="B189" s="5" t="s">
        <v>505</v>
      </c>
      <c r="C189" s="5" t="s">
        <v>505</v>
      </c>
      <c r="D189" s="5" t="s">
        <v>506</v>
      </c>
      <c r="E189" s="5" t="s">
        <v>444</v>
      </c>
      <c r="F189" s="5"/>
      <c r="G189" s="5" t="s">
        <v>445</v>
      </c>
      <c r="H189" s="6" t="b">
        <v>0</v>
      </c>
      <c r="I189" s="6" t="b">
        <v>0</v>
      </c>
      <c r="J189" s="5"/>
      <c r="K189" s="5"/>
    </row>
    <row r="190" spans="1:11">
      <c r="A190" s="5">
        <v>189</v>
      </c>
      <c r="B190" s="5" t="s">
        <v>507</v>
      </c>
      <c r="C190" s="5" t="s">
        <v>507</v>
      </c>
      <c r="D190" s="5" t="s">
        <v>508</v>
      </c>
      <c r="E190" s="5" t="s">
        <v>444</v>
      </c>
      <c r="F190" s="5"/>
      <c r="G190" s="5" t="s">
        <v>445</v>
      </c>
      <c r="H190" s="6" t="b">
        <v>0</v>
      </c>
      <c r="I190" s="6" t="b">
        <v>0</v>
      </c>
      <c r="J190" s="5"/>
      <c r="K190" s="5"/>
    </row>
    <row r="191" spans="1:11">
      <c r="A191" s="5">
        <v>190</v>
      </c>
      <c r="B191" s="5" t="s">
        <v>509</v>
      </c>
      <c r="C191" s="5" t="s">
        <v>509</v>
      </c>
      <c r="D191" s="5" t="s">
        <v>510</v>
      </c>
      <c r="E191" s="5" t="s">
        <v>511</v>
      </c>
      <c r="F191" s="5"/>
      <c r="G191" s="5" t="s">
        <v>512</v>
      </c>
      <c r="H191" s="6" t="b">
        <v>0</v>
      </c>
      <c r="I191" s="6" t="b">
        <v>0</v>
      </c>
      <c r="J191" s="5"/>
      <c r="K191" s="5"/>
    </row>
    <row r="192" spans="1:11">
      <c r="A192" s="5">
        <v>191</v>
      </c>
      <c r="B192" s="5" t="s">
        <v>513</v>
      </c>
      <c r="C192" s="5" t="s">
        <v>513</v>
      </c>
      <c r="D192" s="5" t="s">
        <v>514</v>
      </c>
      <c r="E192" s="5" t="s">
        <v>511</v>
      </c>
      <c r="F192" s="5"/>
      <c r="G192" s="5" t="s">
        <v>512</v>
      </c>
      <c r="H192" s="6" t="b">
        <v>0</v>
      </c>
      <c r="I192" s="6" t="b">
        <v>0</v>
      </c>
      <c r="J192" s="5"/>
      <c r="K192" s="5"/>
    </row>
    <row r="193" spans="1:11">
      <c r="A193" s="5">
        <v>192</v>
      </c>
      <c r="B193" s="5" t="s">
        <v>515</v>
      </c>
      <c r="C193" s="5" t="s">
        <v>515</v>
      </c>
      <c r="D193" s="5" t="s">
        <v>516</v>
      </c>
      <c r="E193" s="5" t="s">
        <v>511</v>
      </c>
      <c r="F193" s="5"/>
      <c r="G193" s="5" t="s">
        <v>512</v>
      </c>
      <c r="H193" s="6" t="b">
        <v>0</v>
      </c>
      <c r="I193" s="6" t="b">
        <v>0</v>
      </c>
      <c r="J193" s="5"/>
      <c r="K193" s="5"/>
    </row>
    <row r="194" spans="1:11">
      <c r="A194" s="5">
        <v>193</v>
      </c>
      <c r="B194" s="5" t="s">
        <v>517</v>
      </c>
      <c r="C194" s="5" t="s">
        <v>517</v>
      </c>
      <c r="D194" s="5" t="s">
        <v>518</v>
      </c>
      <c r="E194" s="5" t="s">
        <v>511</v>
      </c>
      <c r="F194" s="5"/>
      <c r="G194" s="5" t="s">
        <v>512</v>
      </c>
      <c r="H194" s="6" t="b">
        <v>0</v>
      </c>
      <c r="I194" s="6" t="b">
        <v>0</v>
      </c>
      <c r="J194" s="5"/>
      <c r="K194" s="5"/>
    </row>
    <row r="195" spans="1:11">
      <c r="A195" s="5">
        <v>194</v>
      </c>
      <c r="B195" s="5" t="s">
        <v>519</v>
      </c>
      <c r="C195" s="5" t="s">
        <v>519</v>
      </c>
      <c r="D195" s="5" t="s">
        <v>520</v>
      </c>
      <c r="E195" s="5" t="s">
        <v>511</v>
      </c>
      <c r="F195" s="5"/>
      <c r="G195" s="5" t="s">
        <v>512</v>
      </c>
      <c r="H195" s="6" t="b">
        <v>0</v>
      </c>
      <c r="I195" s="6" t="b">
        <v>0</v>
      </c>
      <c r="J195" s="5"/>
      <c r="K195" s="5"/>
    </row>
    <row r="196" spans="1:11">
      <c r="A196" s="5">
        <v>195</v>
      </c>
      <c r="B196" s="5" t="s">
        <v>521</v>
      </c>
      <c r="C196" s="5" t="s">
        <v>521</v>
      </c>
      <c r="D196" s="5" t="s">
        <v>522</v>
      </c>
      <c r="E196" s="5" t="s">
        <v>511</v>
      </c>
      <c r="F196" s="5"/>
      <c r="G196" s="5" t="s">
        <v>512</v>
      </c>
      <c r="H196" s="6" t="b">
        <v>0</v>
      </c>
      <c r="I196" s="6" t="b">
        <v>0</v>
      </c>
      <c r="J196" s="5"/>
      <c r="K196" s="5"/>
    </row>
    <row r="197" spans="1:11">
      <c r="A197" s="5">
        <v>196</v>
      </c>
      <c r="B197" s="5" t="s">
        <v>523</v>
      </c>
      <c r="C197" s="5" t="s">
        <v>523</v>
      </c>
      <c r="D197" s="5" t="s">
        <v>524</v>
      </c>
      <c r="E197" s="5" t="s">
        <v>511</v>
      </c>
      <c r="F197" s="5"/>
      <c r="G197" s="5" t="s">
        <v>512</v>
      </c>
      <c r="H197" s="6" t="b">
        <v>0</v>
      </c>
      <c r="I197" s="6" t="b">
        <v>0</v>
      </c>
      <c r="J197" s="5"/>
      <c r="K197" s="5"/>
    </row>
    <row r="198" spans="1:11">
      <c r="A198" s="5">
        <v>197</v>
      </c>
      <c r="B198" s="5" t="s">
        <v>525</v>
      </c>
      <c r="C198" s="5" t="s">
        <v>525</v>
      </c>
      <c r="D198" s="5" t="s">
        <v>526</v>
      </c>
      <c r="E198" s="5" t="s">
        <v>511</v>
      </c>
      <c r="F198" s="5"/>
      <c r="G198" s="5" t="s">
        <v>512</v>
      </c>
      <c r="H198" s="6" t="b">
        <v>0</v>
      </c>
      <c r="I198" s="6" t="b">
        <v>0</v>
      </c>
      <c r="J198" s="5"/>
      <c r="K198" s="5"/>
    </row>
    <row r="199" spans="1:11">
      <c r="A199" s="5">
        <v>198</v>
      </c>
      <c r="B199" s="5" t="s">
        <v>527</v>
      </c>
      <c r="C199" s="5" t="s">
        <v>527</v>
      </c>
      <c r="D199" s="5" t="s">
        <v>528</v>
      </c>
      <c r="E199" s="5" t="s">
        <v>511</v>
      </c>
      <c r="F199" s="5"/>
      <c r="G199" s="5" t="s">
        <v>512</v>
      </c>
      <c r="H199" s="6" t="b">
        <v>0</v>
      </c>
      <c r="I199" s="6" t="b">
        <v>0</v>
      </c>
      <c r="J199" s="5"/>
      <c r="K199" s="5"/>
    </row>
    <row r="200" spans="1:11">
      <c r="A200" s="5">
        <v>199</v>
      </c>
      <c r="B200" s="5" t="s">
        <v>529</v>
      </c>
      <c r="C200" s="5" t="s">
        <v>529</v>
      </c>
      <c r="D200" s="5" t="s">
        <v>530</v>
      </c>
      <c r="E200" s="5" t="s">
        <v>511</v>
      </c>
      <c r="F200" s="5"/>
      <c r="G200" s="5" t="s">
        <v>512</v>
      </c>
      <c r="H200" s="6" t="b">
        <v>0</v>
      </c>
      <c r="I200" s="6" t="b">
        <v>0</v>
      </c>
      <c r="J200" s="5"/>
      <c r="K200" s="5"/>
    </row>
    <row r="201" spans="1:11">
      <c r="A201" s="5">
        <v>200</v>
      </c>
      <c r="B201" s="5" t="s">
        <v>531</v>
      </c>
      <c r="C201" s="5" t="s">
        <v>531</v>
      </c>
      <c r="D201" s="5" t="s">
        <v>532</v>
      </c>
      <c r="E201" s="5" t="s">
        <v>511</v>
      </c>
      <c r="F201" s="5"/>
      <c r="G201" s="5" t="s">
        <v>512</v>
      </c>
      <c r="H201" s="6" t="b">
        <v>0</v>
      </c>
      <c r="I201" s="6" t="b">
        <v>0</v>
      </c>
      <c r="J201" s="5"/>
      <c r="K201" s="5"/>
    </row>
    <row r="202" spans="1:11">
      <c r="A202" s="5">
        <v>201</v>
      </c>
      <c r="B202" s="5" t="s">
        <v>533</v>
      </c>
      <c r="C202" s="5" t="s">
        <v>533</v>
      </c>
      <c r="D202" s="5" t="s">
        <v>534</v>
      </c>
      <c r="E202" s="5" t="s">
        <v>511</v>
      </c>
      <c r="F202" s="5"/>
      <c r="G202" s="5" t="s">
        <v>512</v>
      </c>
      <c r="H202" s="6" t="b">
        <v>0</v>
      </c>
      <c r="I202" s="6" t="b">
        <v>0</v>
      </c>
      <c r="J202" s="5"/>
      <c r="K202" s="5"/>
    </row>
    <row r="203" spans="1:11">
      <c r="A203" s="5">
        <v>202</v>
      </c>
      <c r="B203" s="5" t="s">
        <v>535</v>
      </c>
      <c r="C203" s="5" t="s">
        <v>535</v>
      </c>
      <c r="D203" s="5" t="s">
        <v>536</v>
      </c>
      <c r="E203" s="5" t="s">
        <v>511</v>
      </c>
      <c r="F203" s="5"/>
      <c r="G203" s="5" t="s">
        <v>512</v>
      </c>
      <c r="H203" s="6" t="b">
        <v>0</v>
      </c>
      <c r="I203" s="6" t="b">
        <v>0</v>
      </c>
      <c r="J203" s="5"/>
      <c r="K203" s="5"/>
    </row>
    <row r="204" spans="1:11">
      <c r="A204" s="5">
        <v>203</v>
      </c>
      <c r="B204" s="5" t="s">
        <v>537</v>
      </c>
      <c r="C204" s="5" t="s">
        <v>537</v>
      </c>
      <c r="D204" s="5" t="s">
        <v>538</v>
      </c>
      <c r="E204" s="5" t="s">
        <v>511</v>
      </c>
      <c r="F204" s="5"/>
      <c r="G204" s="5" t="s">
        <v>512</v>
      </c>
      <c r="H204" s="6" t="b">
        <v>0</v>
      </c>
      <c r="I204" s="6" t="b">
        <v>0</v>
      </c>
      <c r="J204" s="5"/>
      <c r="K204" s="5"/>
    </row>
    <row r="205" spans="1:11">
      <c r="A205" s="5">
        <v>204</v>
      </c>
      <c r="B205" s="5" t="s">
        <v>539</v>
      </c>
      <c r="C205" s="5" t="s">
        <v>539</v>
      </c>
      <c r="D205" s="5" t="s">
        <v>540</v>
      </c>
      <c r="E205" s="5" t="s">
        <v>511</v>
      </c>
      <c r="F205" s="5"/>
      <c r="G205" s="5" t="s">
        <v>512</v>
      </c>
      <c r="H205" s="6" t="b">
        <v>0</v>
      </c>
      <c r="I205" s="6" t="b">
        <v>0</v>
      </c>
      <c r="J205" s="5"/>
      <c r="K205" s="5"/>
    </row>
    <row r="206" spans="1:11">
      <c r="A206" s="5">
        <v>205</v>
      </c>
      <c r="B206" s="5" t="s">
        <v>541</v>
      </c>
      <c r="C206" s="5" t="s">
        <v>541</v>
      </c>
      <c r="D206" s="5" t="s">
        <v>1031</v>
      </c>
      <c r="E206" s="5" t="s">
        <v>511</v>
      </c>
      <c r="F206" s="5"/>
      <c r="G206" s="5" t="s">
        <v>512</v>
      </c>
      <c r="H206" s="6" t="b">
        <v>0</v>
      </c>
      <c r="I206" s="6" t="b">
        <v>0</v>
      </c>
      <c r="J206" s="5" t="s">
        <v>541</v>
      </c>
      <c r="K206" s="5"/>
    </row>
    <row r="207" spans="1:11">
      <c r="A207" s="5">
        <v>206</v>
      </c>
      <c r="B207" s="5" t="s">
        <v>542</v>
      </c>
      <c r="C207" s="5" t="s">
        <v>542</v>
      </c>
      <c r="D207" s="5" t="s">
        <v>543</v>
      </c>
      <c r="E207" s="5" t="s">
        <v>511</v>
      </c>
      <c r="F207" s="5"/>
      <c r="G207" s="5" t="s">
        <v>512</v>
      </c>
      <c r="H207" s="6" t="b">
        <v>0</v>
      </c>
      <c r="I207" s="6" t="b">
        <v>0</v>
      </c>
      <c r="J207" s="5"/>
      <c r="K207" s="5"/>
    </row>
    <row r="208" spans="1:11">
      <c r="A208" s="5">
        <v>207</v>
      </c>
      <c r="B208" s="5" t="s">
        <v>544</v>
      </c>
      <c r="C208" s="5" t="s">
        <v>544</v>
      </c>
      <c r="D208" s="5" t="s">
        <v>545</v>
      </c>
      <c r="E208" s="5" t="s">
        <v>511</v>
      </c>
      <c r="F208" s="5"/>
      <c r="G208" s="5" t="s">
        <v>512</v>
      </c>
      <c r="H208" s="6" t="b">
        <v>0</v>
      </c>
      <c r="I208" s="6" t="b">
        <v>0</v>
      </c>
      <c r="J208" s="5"/>
      <c r="K208" s="5"/>
    </row>
    <row r="209" spans="1:11">
      <c r="A209" s="5">
        <v>208</v>
      </c>
      <c r="B209" s="5" t="s">
        <v>546</v>
      </c>
      <c r="C209" s="5" t="s">
        <v>546</v>
      </c>
      <c r="D209" s="5" t="s">
        <v>547</v>
      </c>
      <c r="E209" s="5" t="s">
        <v>511</v>
      </c>
      <c r="F209" s="5"/>
      <c r="G209" s="5" t="s">
        <v>512</v>
      </c>
      <c r="H209" s="6" t="b">
        <v>0</v>
      </c>
      <c r="I209" s="6" t="b">
        <v>0</v>
      </c>
      <c r="J209" s="5"/>
      <c r="K209" s="5"/>
    </row>
    <row r="210" spans="1:11">
      <c r="A210" s="5">
        <v>209</v>
      </c>
      <c r="B210" s="5" t="s">
        <v>548</v>
      </c>
      <c r="C210" s="5" t="s">
        <v>548</v>
      </c>
      <c r="D210" s="5" t="s">
        <v>549</v>
      </c>
      <c r="E210" s="5" t="s">
        <v>511</v>
      </c>
      <c r="F210" s="5"/>
      <c r="G210" s="5" t="s">
        <v>512</v>
      </c>
      <c r="H210" s="6" t="b">
        <v>0</v>
      </c>
      <c r="I210" s="6" t="b">
        <v>0</v>
      </c>
      <c r="J210" s="5"/>
      <c r="K210" s="5"/>
    </row>
    <row r="211" spans="1:11">
      <c r="A211" s="5">
        <v>210</v>
      </c>
      <c r="B211" s="5" t="s">
        <v>550</v>
      </c>
      <c r="C211" s="5" t="s">
        <v>550</v>
      </c>
      <c r="D211" s="5" t="s">
        <v>551</v>
      </c>
      <c r="E211" s="5" t="s">
        <v>511</v>
      </c>
      <c r="F211" s="5"/>
      <c r="G211" s="5" t="s">
        <v>512</v>
      </c>
      <c r="H211" s="6" t="b">
        <v>0</v>
      </c>
      <c r="I211" s="6" t="b">
        <v>0</v>
      </c>
      <c r="J211" s="5"/>
      <c r="K211" s="5"/>
    </row>
    <row r="212" spans="1:11">
      <c r="A212" s="5">
        <v>211</v>
      </c>
      <c r="B212" s="5" t="s">
        <v>552</v>
      </c>
      <c r="C212" s="5" t="s">
        <v>552</v>
      </c>
      <c r="D212" s="5" t="s">
        <v>553</v>
      </c>
      <c r="E212" s="5" t="s">
        <v>511</v>
      </c>
      <c r="F212" s="5"/>
      <c r="G212" s="5" t="s">
        <v>512</v>
      </c>
      <c r="H212" s="6" t="b">
        <v>0</v>
      </c>
      <c r="I212" s="6" t="b">
        <v>0</v>
      </c>
      <c r="J212" s="5"/>
      <c r="K212" s="5"/>
    </row>
    <row r="213" spans="1:11">
      <c r="A213" s="5">
        <v>212</v>
      </c>
      <c r="B213" s="5" t="s">
        <v>554</v>
      </c>
      <c r="C213" s="5" t="s">
        <v>554</v>
      </c>
      <c r="D213" s="5" t="s">
        <v>555</v>
      </c>
      <c r="E213" s="5" t="s">
        <v>511</v>
      </c>
      <c r="F213" s="5"/>
      <c r="G213" s="5" t="s">
        <v>512</v>
      </c>
      <c r="H213" s="6" t="b">
        <v>0</v>
      </c>
      <c r="I213" s="6" t="b">
        <v>0</v>
      </c>
      <c r="J213" s="5"/>
      <c r="K213" s="5"/>
    </row>
    <row r="214" spans="1:11">
      <c r="A214" s="5">
        <v>213</v>
      </c>
      <c r="B214" s="5" t="s">
        <v>556</v>
      </c>
      <c r="C214" s="5" t="s">
        <v>556</v>
      </c>
      <c r="D214" s="5" t="s">
        <v>557</v>
      </c>
      <c r="E214" s="5" t="s">
        <v>511</v>
      </c>
      <c r="F214" s="5"/>
      <c r="G214" s="5" t="s">
        <v>512</v>
      </c>
      <c r="H214" s="6" t="b">
        <v>0</v>
      </c>
      <c r="I214" s="6" t="b">
        <v>0</v>
      </c>
      <c r="J214" s="5"/>
      <c r="K214" s="5"/>
    </row>
    <row r="215" spans="1:11">
      <c r="A215" s="5">
        <v>214</v>
      </c>
      <c r="B215" s="5" t="s">
        <v>558</v>
      </c>
      <c r="C215" s="5" t="s">
        <v>558</v>
      </c>
      <c r="D215" s="5" t="s">
        <v>559</v>
      </c>
      <c r="E215" s="5" t="s">
        <v>511</v>
      </c>
      <c r="F215" s="5"/>
      <c r="G215" s="5" t="s">
        <v>512</v>
      </c>
      <c r="H215" s="6" t="b">
        <v>0</v>
      </c>
      <c r="I215" s="6" t="b">
        <v>0</v>
      </c>
      <c r="J215" s="5"/>
      <c r="K215" s="5"/>
    </row>
    <row r="216" spans="1:11">
      <c r="A216" s="5">
        <v>215</v>
      </c>
      <c r="B216" s="5" t="s">
        <v>560</v>
      </c>
      <c r="C216" s="5" t="s">
        <v>560</v>
      </c>
      <c r="D216" s="5" t="s">
        <v>561</v>
      </c>
      <c r="E216" s="5" t="s">
        <v>511</v>
      </c>
      <c r="F216" s="5"/>
      <c r="G216" s="5" t="s">
        <v>512</v>
      </c>
      <c r="H216" s="6" t="b">
        <v>0</v>
      </c>
      <c r="I216" s="6" t="b">
        <v>0</v>
      </c>
      <c r="J216" s="5"/>
      <c r="K216" s="5"/>
    </row>
    <row r="217" spans="1:11">
      <c r="A217" s="5">
        <v>216</v>
      </c>
      <c r="B217" s="5" t="s">
        <v>562</v>
      </c>
      <c r="C217" s="5" t="s">
        <v>562</v>
      </c>
      <c r="D217" s="5" t="s">
        <v>563</v>
      </c>
      <c r="E217" s="5" t="s">
        <v>511</v>
      </c>
      <c r="F217" s="5"/>
      <c r="G217" s="5" t="s">
        <v>512</v>
      </c>
      <c r="H217" s="6" t="b">
        <v>0</v>
      </c>
      <c r="I217" s="6" t="b">
        <v>0</v>
      </c>
      <c r="J217" s="5"/>
      <c r="K217" s="5"/>
    </row>
    <row r="218" spans="1:11">
      <c r="A218" s="5">
        <v>217</v>
      </c>
      <c r="B218" s="5" t="s">
        <v>564</v>
      </c>
      <c r="C218" s="5" t="s">
        <v>564</v>
      </c>
      <c r="D218" s="5" t="s">
        <v>565</v>
      </c>
      <c r="E218" s="5" t="s">
        <v>511</v>
      </c>
      <c r="F218" s="5"/>
      <c r="G218" s="5" t="s">
        <v>512</v>
      </c>
      <c r="H218" s="6" t="b">
        <v>0</v>
      </c>
      <c r="I218" s="6" t="b">
        <v>0</v>
      </c>
      <c r="J218" s="5"/>
      <c r="K218" s="5"/>
    </row>
    <row r="219" spans="1:11">
      <c r="A219" s="5">
        <v>218</v>
      </c>
      <c r="B219" s="5" t="s">
        <v>566</v>
      </c>
      <c r="C219" s="5" t="s">
        <v>566</v>
      </c>
      <c r="D219" s="5" t="s">
        <v>567</v>
      </c>
      <c r="E219" s="5" t="s">
        <v>511</v>
      </c>
      <c r="F219" s="5"/>
      <c r="G219" s="5" t="s">
        <v>512</v>
      </c>
      <c r="H219" s="6" t="b">
        <v>0</v>
      </c>
      <c r="I219" s="6" t="b">
        <v>0</v>
      </c>
      <c r="J219" s="5"/>
      <c r="K219" s="5"/>
    </row>
    <row r="220" spans="1:11">
      <c r="A220" s="5">
        <v>219</v>
      </c>
      <c r="B220" s="5" t="s">
        <v>568</v>
      </c>
      <c r="C220" s="5" t="s">
        <v>568</v>
      </c>
      <c r="D220" s="5" t="s">
        <v>569</v>
      </c>
      <c r="E220" s="5" t="s">
        <v>511</v>
      </c>
      <c r="F220" s="5"/>
      <c r="G220" s="5" t="s">
        <v>512</v>
      </c>
      <c r="H220" s="6" t="b">
        <v>0</v>
      </c>
      <c r="I220" s="6" t="b">
        <v>0</v>
      </c>
      <c r="J220" s="5"/>
      <c r="K220" s="5"/>
    </row>
    <row r="221" spans="1:11">
      <c r="A221" s="5">
        <v>220</v>
      </c>
      <c r="B221" s="5" t="s">
        <v>570</v>
      </c>
      <c r="C221" s="5" t="s">
        <v>570</v>
      </c>
      <c r="D221" s="5" t="s">
        <v>571</v>
      </c>
      <c r="E221" s="5" t="s">
        <v>511</v>
      </c>
      <c r="F221" s="5"/>
      <c r="G221" s="5" t="s">
        <v>512</v>
      </c>
      <c r="H221" s="6" t="b">
        <v>0</v>
      </c>
      <c r="I221" s="6" t="b">
        <v>0</v>
      </c>
      <c r="J221" s="5"/>
      <c r="K221" s="5"/>
    </row>
    <row r="222" spans="1:11">
      <c r="A222" s="5">
        <v>221</v>
      </c>
      <c r="B222" s="5" t="s">
        <v>572</v>
      </c>
      <c r="C222" s="5" t="s">
        <v>572</v>
      </c>
      <c r="D222" s="5" t="s">
        <v>573</v>
      </c>
      <c r="E222" s="5" t="s">
        <v>511</v>
      </c>
      <c r="F222" s="5"/>
      <c r="G222" s="5" t="s">
        <v>512</v>
      </c>
      <c r="H222" s="6" t="b">
        <v>0</v>
      </c>
      <c r="I222" s="6" t="b">
        <v>0</v>
      </c>
      <c r="J222" s="5"/>
      <c r="K222" s="5"/>
    </row>
    <row r="223" spans="1:11">
      <c r="A223" s="5">
        <v>222</v>
      </c>
      <c r="B223" s="5" t="s">
        <v>574</v>
      </c>
      <c r="C223" s="5" t="s">
        <v>574</v>
      </c>
      <c r="D223" s="5" t="s">
        <v>575</v>
      </c>
      <c r="E223" s="5" t="s">
        <v>511</v>
      </c>
      <c r="F223" s="5"/>
      <c r="G223" s="5" t="s">
        <v>512</v>
      </c>
      <c r="H223" s="6" t="b">
        <v>0</v>
      </c>
      <c r="I223" s="6" t="b">
        <v>0</v>
      </c>
      <c r="J223" s="5"/>
      <c r="K223" s="5"/>
    </row>
    <row r="224" spans="1:11">
      <c r="A224" s="5">
        <v>223</v>
      </c>
      <c r="B224" s="5" t="s">
        <v>576</v>
      </c>
      <c r="C224" s="5" t="s">
        <v>576</v>
      </c>
      <c r="D224" s="5" t="s">
        <v>577</v>
      </c>
      <c r="E224" s="5" t="s">
        <v>511</v>
      </c>
      <c r="F224" s="5"/>
      <c r="G224" s="5" t="s">
        <v>512</v>
      </c>
      <c r="H224" s="6" t="b">
        <v>0</v>
      </c>
      <c r="I224" s="6" t="b">
        <v>0</v>
      </c>
      <c r="J224" s="5"/>
      <c r="K224" s="5"/>
    </row>
    <row r="225" spans="1:11">
      <c r="A225" s="5">
        <v>224</v>
      </c>
      <c r="B225" s="5" t="s">
        <v>578</v>
      </c>
      <c r="C225" s="5" t="s">
        <v>578</v>
      </c>
      <c r="D225" s="5" t="s">
        <v>579</v>
      </c>
      <c r="E225" s="5" t="s">
        <v>511</v>
      </c>
      <c r="F225" s="5"/>
      <c r="G225" s="5" t="s">
        <v>512</v>
      </c>
      <c r="H225" s="6" t="b">
        <v>0</v>
      </c>
      <c r="I225" s="6" t="b">
        <v>0</v>
      </c>
      <c r="J225" s="5"/>
      <c r="K225" s="5"/>
    </row>
    <row r="226" spans="1:11">
      <c r="A226" s="5">
        <v>225</v>
      </c>
      <c r="B226" s="5" t="s">
        <v>580</v>
      </c>
      <c r="C226" s="5" t="s">
        <v>580</v>
      </c>
      <c r="D226" s="5" t="s">
        <v>581</v>
      </c>
      <c r="E226" s="5" t="s">
        <v>582</v>
      </c>
      <c r="F226" s="5"/>
      <c r="G226" s="5" t="s">
        <v>583</v>
      </c>
      <c r="H226" s="6" t="b">
        <v>0</v>
      </c>
      <c r="I226" s="6" t="b">
        <v>0</v>
      </c>
      <c r="J226" s="5"/>
      <c r="K226" s="5"/>
    </row>
    <row r="227" spans="1:11">
      <c r="A227" s="5">
        <v>226</v>
      </c>
      <c r="B227" s="5" t="s">
        <v>584</v>
      </c>
      <c r="C227" s="5" t="s">
        <v>584</v>
      </c>
      <c r="D227" s="5" t="s">
        <v>585</v>
      </c>
      <c r="E227" s="5" t="s">
        <v>582</v>
      </c>
      <c r="F227" s="5"/>
      <c r="G227" s="5" t="s">
        <v>583</v>
      </c>
      <c r="H227" s="6" t="b">
        <v>0</v>
      </c>
      <c r="I227" s="6" t="b">
        <v>0</v>
      </c>
      <c r="J227" s="5"/>
      <c r="K227" s="5"/>
    </row>
    <row r="228" spans="1:11">
      <c r="A228" s="5">
        <v>227</v>
      </c>
      <c r="B228" s="5" t="s">
        <v>586</v>
      </c>
      <c r="C228" s="5" t="s">
        <v>586</v>
      </c>
      <c r="D228" s="5" t="s">
        <v>587</v>
      </c>
      <c r="E228" s="5" t="s">
        <v>582</v>
      </c>
      <c r="F228" s="5"/>
      <c r="G228" s="5" t="s">
        <v>583</v>
      </c>
      <c r="H228" s="6" t="b">
        <v>0</v>
      </c>
      <c r="I228" s="6" t="b">
        <v>0</v>
      </c>
      <c r="J228" s="5"/>
      <c r="K228" s="5"/>
    </row>
    <row r="229" spans="1:11">
      <c r="A229" s="5">
        <v>228</v>
      </c>
      <c r="B229" s="5" t="s">
        <v>588</v>
      </c>
      <c r="C229" s="5" t="s">
        <v>588</v>
      </c>
      <c r="D229" s="5" t="s">
        <v>589</v>
      </c>
      <c r="E229" s="5" t="s">
        <v>582</v>
      </c>
      <c r="F229" s="5"/>
      <c r="G229" s="5" t="s">
        <v>583</v>
      </c>
      <c r="H229" s="6" t="b">
        <v>0</v>
      </c>
      <c r="I229" s="6" t="b">
        <v>0</v>
      </c>
      <c r="J229" s="5"/>
      <c r="K229" s="5"/>
    </row>
    <row r="230" spans="1:11">
      <c r="A230" s="5">
        <v>229</v>
      </c>
      <c r="B230" s="5" t="s">
        <v>590</v>
      </c>
      <c r="C230" s="5" t="s">
        <v>590</v>
      </c>
      <c r="D230" s="5" t="s">
        <v>591</v>
      </c>
      <c r="E230" s="5" t="s">
        <v>582</v>
      </c>
      <c r="F230" s="5"/>
      <c r="G230" s="5" t="s">
        <v>583</v>
      </c>
      <c r="H230" s="6" t="b">
        <v>0</v>
      </c>
      <c r="I230" s="6" t="b">
        <v>0</v>
      </c>
      <c r="J230" s="5"/>
      <c r="K230" s="5"/>
    </row>
    <row r="231" spans="1:11">
      <c r="A231" s="5">
        <v>230</v>
      </c>
      <c r="B231" s="5" t="s">
        <v>592</v>
      </c>
      <c r="C231" s="5" t="s">
        <v>592</v>
      </c>
      <c r="D231" s="5" t="s">
        <v>593</v>
      </c>
      <c r="E231" s="5" t="s">
        <v>582</v>
      </c>
      <c r="F231" s="5"/>
      <c r="G231" s="5" t="s">
        <v>583</v>
      </c>
      <c r="H231" s="6" t="b">
        <v>0</v>
      </c>
      <c r="I231" s="6" t="b">
        <v>0</v>
      </c>
      <c r="J231" s="5"/>
      <c r="K231" s="5"/>
    </row>
    <row r="232" spans="1:11">
      <c r="A232" s="5">
        <v>231</v>
      </c>
      <c r="B232" s="5" t="s">
        <v>594</v>
      </c>
      <c r="C232" s="5" t="s">
        <v>594</v>
      </c>
      <c r="D232" s="5" t="s">
        <v>595</v>
      </c>
      <c r="E232" s="5" t="s">
        <v>582</v>
      </c>
      <c r="F232" s="5"/>
      <c r="G232" s="5" t="s">
        <v>583</v>
      </c>
      <c r="H232" s="6" t="b">
        <v>0</v>
      </c>
      <c r="I232" s="6" t="b">
        <v>0</v>
      </c>
      <c r="J232" s="5"/>
      <c r="K232" s="5"/>
    </row>
    <row r="233" spans="1:11">
      <c r="A233" s="5">
        <v>232</v>
      </c>
      <c r="B233" s="5" t="s">
        <v>596</v>
      </c>
      <c r="C233" s="5" t="s">
        <v>596</v>
      </c>
      <c r="D233" s="5" t="s">
        <v>597</v>
      </c>
      <c r="E233" s="5" t="s">
        <v>582</v>
      </c>
      <c r="F233" s="5"/>
      <c r="G233" s="5" t="s">
        <v>583</v>
      </c>
      <c r="H233" s="6" t="b">
        <v>0</v>
      </c>
      <c r="I233" s="6" t="b">
        <v>0</v>
      </c>
      <c r="J233" s="5"/>
      <c r="K233" s="5"/>
    </row>
    <row r="234" spans="1:11">
      <c r="A234" s="5">
        <v>233</v>
      </c>
      <c r="B234" s="5" t="s">
        <v>598</v>
      </c>
      <c r="C234" s="5" t="s">
        <v>598</v>
      </c>
      <c r="D234" s="5" t="s">
        <v>599</v>
      </c>
      <c r="E234" s="5" t="s">
        <v>582</v>
      </c>
      <c r="F234" s="5"/>
      <c r="G234" s="5" t="s">
        <v>583</v>
      </c>
      <c r="H234" s="6" t="b">
        <v>0</v>
      </c>
      <c r="I234" s="6" t="b">
        <v>0</v>
      </c>
      <c r="J234" s="5"/>
      <c r="K234" s="5"/>
    </row>
    <row r="235" spans="1:11">
      <c r="A235" s="5">
        <v>234</v>
      </c>
      <c r="B235" s="5" t="s">
        <v>600</v>
      </c>
      <c r="C235" s="5" t="s">
        <v>600</v>
      </c>
      <c r="D235" s="5" t="s">
        <v>601</v>
      </c>
      <c r="E235" s="5" t="s">
        <v>582</v>
      </c>
      <c r="F235" s="5"/>
      <c r="G235" s="5" t="s">
        <v>583</v>
      </c>
      <c r="H235" s="6" t="b">
        <v>0</v>
      </c>
      <c r="I235" s="6" t="b">
        <v>0</v>
      </c>
      <c r="J235" s="5"/>
      <c r="K235" s="5"/>
    </row>
    <row r="236" spans="1:11">
      <c r="A236" s="5">
        <v>235</v>
      </c>
      <c r="B236" s="5" t="s">
        <v>602</v>
      </c>
      <c r="C236" s="5" t="s">
        <v>602</v>
      </c>
      <c r="D236" s="5" t="s">
        <v>603</v>
      </c>
      <c r="E236" s="5" t="s">
        <v>582</v>
      </c>
      <c r="F236" s="5"/>
      <c r="G236" s="5" t="s">
        <v>583</v>
      </c>
      <c r="H236" s="6" t="b">
        <v>0</v>
      </c>
      <c r="I236" s="6" t="b">
        <v>0</v>
      </c>
      <c r="J236" s="5"/>
      <c r="K236" s="5"/>
    </row>
    <row r="237" spans="1:11">
      <c r="A237" s="5">
        <v>236</v>
      </c>
      <c r="B237" s="5" t="s">
        <v>604</v>
      </c>
      <c r="C237" s="5" t="s">
        <v>604</v>
      </c>
      <c r="D237" s="5" t="s">
        <v>605</v>
      </c>
      <c r="E237" s="5" t="s">
        <v>582</v>
      </c>
      <c r="F237" s="5"/>
      <c r="G237" s="5" t="s">
        <v>583</v>
      </c>
      <c r="H237" s="6" t="b">
        <v>0</v>
      </c>
      <c r="I237" s="6" t="b">
        <v>0</v>
      </c>
      <c r="J237" s="5"/>
      <c r="K237" s="5"/>
    </row>
    <row r="238" spans="1:11">
      <c r="A238" s="5">
        <v>237</v>
      </c>
      <c r="B238" s="5" t="s">
        <v>606</v>
      </c>
      <c r="C238" s="5" t="s">
        <v>606</v>
      </c>
      <c r="D238" s="5" t="s">
        <v>607</v>
      </c>
      <c r="E238" s="5" t="s">
        <v>582</v>
      </c>
      <c r="F238" s="5"/>
      <c r="G238" s="5" t="s">
        <v>583</v>
      </c>
      <c r="H238" s="6" t="b">
        <v>0</v>
      </c>
      <c r="I238" s="6" t="b">
        <v>0</v>
      </c>
      <c r="J238" s="5"/>
      <c r="K238" s="5"/>
    </row>
    <row r="239" spans="1:11">
      <c r="A239" s="5">
        <v>238</v>
      </c>
      <c r="B239" s="5" t="s">
        <v>608</v>
      </c>
      <c r="C239" s="5" t="s">
        <v>608</v>
      </c>
      <c r="D239" s="5" t="s">
        <v>609</v>
      </c>
      <c r="E239" s="5" t="s">
        <v>582</v>
      </c>
      <c r="F239" s="5"/>
      <c r="G239" s="5" t="s">
        <v>583</v>
      </c>
      <c r="H239" s="6" t="b">
        <v>0</v>
      </c>
      <c r="I239" s="6" t="b">
        <v>0</v>
      </c>
      <c r="J239" s="5"/>
      <c r="K239" s="5"/>
    </row>
    <row r="240" spans="1:11">
      <c r="A240" s="5">
        <v>239</v>
      </c>
      <c r="B240" s="5" t="s">
        <v>610</v>
      </c>
      <c r="C240" s="5" t="s">
        <v>610</v>
      </c>
      <c r="D240" s="5" t="s">
        <v>611</v>
      </c>
      <c r="E240" s="5" t="s">
        <v>582</v>
      </c>
      <c r="F240" s="5"/>
      <c r="G240" s="5" t="s">
        <v>583</v>
      </c>
      <c r="H240" s="6" t="b">
        <v>0</v>
      </c>
      <c r="I240" s="6" t="b">
        <v>0</v>
      </c>
      <c r="J240" s="5"/>
      <c r="K240" s="5"/>
    </row>
    <row r="241" spans="1:11">
      <c r="A241" s="5">
        <v>240</v>
      </c>
      <c r="B241" s="5" t="s">
        <v>612</v>
      </c>
      <c r="C241" s="5" t="s">
        <v>612</v>
      </c>
      <c r="D241" s="5" t="s">
        <v>613</v>
      </c>
      <c r="E241" s="5" t="s">
        <v>582</v>
      </c>
      <c r="F241" s="5"/>
      <c r="G241" s="5" t="s">
        <v>583</v>
      </c>
      <c r="H241" s="6" t="b">
        <v>0</v>
      </c>
      <c r="I241" s="6" t="b">
        <v>0</v>
      </c>
      <c r="J241" s="5"/>
      <c r="K241" s="5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8"/>
  <sheetViews>
    <sheetView tabSelected="1" topLeftCell="A255" zoomScale="80" zoomScaleNormal="80" workbookViewId="0">
      <selection activeCell="J282" sqref="J282"/>
    </sheetView>
  </sheetViews>
  <sheetFormatPr defaultRowHeight="14.25"/>
  <cols>
    <col min="1" max="1" width="12" customWidth="1"/>
    <col min="2" max="2" width="14" customWidth="1"/>
    <col min="3" max="3" width="28" customWidth="1"/>
    <col min="4" max="5" width="18" customWidth="1"/>
    <col min="6" max="6" width="24" customWidth="1"/>
    <col min="7" max="7" width="10" customWidth="1"/>
    <col min="8" max="8" width="22" customWidth="1"/>
    <col min="9" max="12" width="12" customWidth="1"/>
    <col min="13" max="13" width="16" customWidth="1"/>
    <col min="14" max="14" width="18" customWidth="1"/>
    <col min="15" max="15" width="16" customWidth="1"/>
    <col min="16" max="16" width="14" customWidth="1"/>
    <col min="17" max="17" width="28" customWidth="1"/>
    <col min="18" max="18" width="30" customWidth="1"/>
  </cols>
  <sheetData>
    <row r="1" spans="1:26" ht="27.95" customHeight="1">
      <c r="A1" s="12" t="s">
        <v>614</v>
      </c>
      <c r="B1" s="12" t="s">
        <v>615</v>
      </c>
      <c r="C1" s="12" t="s">
        <v>616</v>
      </c>
      <c r="D1" s="12" t="s">
        <v>46</v>
      </c>
      <c r="E1" s="12" t="s">
        <v>47</v>
      </c>
      <c r="F1" s="12" t="s">
        <v>48</v>
      </c>
      <c r="G1" s="12" t="s">
        <v>617</v>
      </c>
      <c r="H1" s="12" t="s">
        <v>618</v>
      </c>
      <c r="I1" s="14" t="s">
        <v>619</v>
      </c>
      <c r="J1" s="14" t="s">
        <v>620</v>
      </c>
      <c r="K1" s="12" t="s">
        <v>621</v>
      </c>
      <c r="L1" s="12" t="s">
        <v>622</v>
      </c>
      <c r="M1" s="12" t="s">
        <v>623</v>
      </c>
      <c r="N1" s="12" t="s">
        <v>52</v>
      </c>
      <c r="O1" s="12" t="s">
        <v>624</v>
      </c>
      <c r="P1" s="12" t="s">
        <v>625</v>
      </c>
      <c r="Q1" s="12" t="s">
        <v>54</v>
      </c>
      <c r="R1" s="12" t="s">
        <v>55</v>
      </c>
      <c r="S1" s="13"/>
      <c r="T1" s="13"/>
      <c r="U1" s="13"/>
      <c r="V1" s="13"/>
      <c r="W1" s="13"/>
      <c r="X1" s="13"/>
      <c r="Y1" s="13"/>
      <c r="Z1" s="13"/>
    </row>
    <row r="2" spans="1:26" ht="15">
      <c r="A2" s="5" t="str">
        <f t="shared" ref="A2:A65" si="0">IF(OR(I2="",J2=""),"미작업","완료")</f>
        <v>완료</v>
      </c>
      <c r="B2" s="5">
        <v>1</v>
      </c>
      <c r="C2" s="5" t="s">
        <v>626</v>
      </c>
      <c r="D2" s="5" t="s">
        <v>56</v>
      </c>
      <c r="E2" s="5" t="s">
        <v>56</v>
      </c>
      <c r="F2" s="5" t="s">
        <v>56</v>
      </c>
      <c r="G2" s="5" t="s">
        <v>65</v>
      </c>
      <c r="H2" s="5" t="s">
        <v>627</v>
      </c>
      <c r="I2" s="7">
        <v>1916</v>
      </c>
      <c r="J2" s="7">
        <v>1308</v>
      </c>
      <c r="K2" s="11">
        <f>IF(I2="","",I2/Config!$B$2*100)</f>
        <v>37.421875</v>
      </c>
      <c r="L2" s="11">
        <f>IF(J2="","",J2/Config!$B$3*100)</f>
        <v>45.416666666666664</v>
      </c>
      <c r="M2" s="5">
        <v>12</v>
      </c>
      <c r="N2" s="6" t="b">
        <v>1</v>
      </c>
      <c r="O2" s="6" t="b">
        <v>1</v>
      </c>
      <c r="P2" s="6" t="b">
        <v>1</v>
      </c>
      <c r="Q2" s="5"/>
      <c r="R2" s="5"/>
    </row>
    <row r="3" spans="1:26" ht="15">
      <c r="A3" s="5" t="str">
        <f t="shared" si="0"/>
        <v>완료</v>
      </c>
      <c r="B3" s="5">
        <v>2</v>
      </c>
      <c r="C3" s="5" t="s">
        <v>628</v>
      </c>
      <c r="D3" s="5" t="s">
        <v>59</v>
      </c>
      <c r="E3" s="5" t="s">
        <v>59</v>
      </c>
      <c r="F3" s="5" t="s">
        <v>60</v>
      </c>
      <c r="G3" s="5" t="s">
        <v>65</v>
      </c>
      <c r="H3" s="5" t="s">
        <v>627</v>
      </c>
      <c r="I3" s="7">
        <v>1916</v>
      </c>
      <c r="J3" s="7">
        <v>1144</v>
      </c>
      <c r="K3" s="11">
        <f>IF(I3="","",I3/Config!$B$2*100)</f>
        <v>37.421875</v>
      </c>
      <c r="L3" s="11">
        <f>IF(J3="","",J3/Config!$B$3*100)</f>
        <v>39.722222222222221</v>
      </c>
      <c r="M3" s="5">
        <v>12</v>
      </c>
      <c r="N3" s="6" t="b">
        <v>1</v>
      </c>
      <c r="O3" s="6" t="b">
        <v>0</v>
      </c>
      <c r="P3" s="6" t="b">
        <v>1</v>
      </c>
      <c r="Q3" s="5"/>
      <c r="R3" s="5"/>
    </row>
    <row r="4" spans="1:26" ht="15">
      <c r="A4" s="5" t="str">
        <f t="shared" si="0"/>
        <v>완료</v>
      </c>
      <c r="B4" s="5">
        <v>3</v>
      </c>
      <c r="C4" s="5" t="s">
        <v>629</v>
      </c>
      <c r="D4" s="5" t="s">
        <v>63</v>
      </c>
      <c r="E4" s="5" t="s">
        <v>63</v>
      </c>
      <c r="F4" s="5" t="s">
        <v>64</v>
      </c>
      <c r="G4" s="5" t="s">
        <v>65</v>
      </c>
      <c r="H4" s="5" t="s">
        <v>627</v>
      </c>
      <c r="I4" s="7">
        <v>1916</v>
      </c>
      <c r="J4" s="7">
        <v>1048</v>
      </c>
      <c r="K4" s="11">
        <f>IF(I4="","",I4/Config!$B$2*100)</f>
        <v>37.421875</v>
      </c>
      <c r="L4" s="11">
        <f>IF(J4="","",J4/Config!$B$3*100)</f>
        <v>36.388888888888886</v>
      </c>
      <c r="M4" s="5">
        <v>10</v>
      </c>
      <c r="N4" s="6" t="b">
        <v>0</v>
      </c>
      <c r="O4" s="6" t="b">
        <v>0</v>
      </c>
      <c r="P4" s="6" t="b">
        <v>1</v>
      </c>
      <c r="Q4" s="5"/>
      <c r="R4" s="5"/>
    </row>
    <row r="5" spans="1:26" ht="15">
      <c r="A5" s="5" t="str">
        <f t="shared" si="0"/>
        <v>완료</v>
      </c>
      <c r="B5" s="5">
        <v>4</v>
      </c>
      <c r="C5" s="5" t="s">
        <v>630</v>
      </c>
      <c r="D5" s="5" t="s">
        <v>67</v>
      </c>
      <c r="E5" s="5" t="s">
        <v>67</v>
      </c>
      <c r="F5" s="5" t="s">
        <v>68</v>
      </c>
      <c r="G5" s="5" t="s">
        <v>65</v>
      </c>
      <c r="H5" s="5" t="s">
        <v>627</v>
      </c>
      <c r="I5" s="7">
        <v>2084</v>
      </c>
      <c r="J5" s="7">
        <v>980</v>
      </c>
      <c r="K5" s="11">
        <f>IF(I5="","",I5/Config!$B$2*100)</f>
        <v>40.703125</v>
      </c>
      <c r="L5" s="11">
        <f>IF(J5="","",J5/Config!$B$3*100)</f>
        <v>34.027777777777779</v>
      </c>
      <c r="M5" s="5">
        <v>12</v>
      </c>
      <c r="N5" s="6" t="b">
        <v>1</v>
      </c>
      <c r="O5" s="6" t="b">
        <v>0</v>
      </c>
      <c r="P5" s="6" t="b">
        <v>1</v>
      </c>
      <c r="Q5" s="5"/>
      <c r="R5" s="5"/>
    </row>
    <row r="6" spans="1:26" ht="15">
      <c r="A6" s="5" t="str">
        <f t="shared" si="0"/>
        <v>완료</v>
      </c>
      <c r="B6" s="5">
        <v>5</v>
      </c>
      <c r="C6" s="5" t="s">
        <v>631</v>
      </c>
      <c r="D6" s="5" t="s">
        <v>71</v>
      </c>
      <c r="E6" s="5" t="s">
        <v>71</v>
      </c>
      <c r="F6" s="5" t="s">
        <v>72</v>
      </c>
      <c r="G6" s="5" t="s">
        <v>65</v>
      </c>
      <c r="H6" s="5" t="s">
        <v>627</v>
      </c>
      <c r="I6" s="7">
        <v>2240</v>
      </c>
      <c r="J6" s="7">
        <v>980</v>
      </c>
      <c r="K6" s="11">
        <f>IF(I6="","",I6/Config!$B$2*100)</f>
        <v>43.75</v>
      </c>
      <c r="L6" s="11">
        <f>IF(J6="","",J6/Config!$B$3*100)</f>
        <v>34.027777777777779</v>
      </c>
      <c r="M6" s="5">
        <v>10</v>
      </c>
      <c r="N6" s="6" t="b">
        <v>0</v>
      </c>
      <c r="O6" s="6" t="b">
        <v>0</v>
      </c>
      <c r="P6" s="6" t="b">
        <v>1</v>
      </c>
      <c r="Q6" s="5"/>
      <c r="R6" s="5"/>
    </row>
    <row r="7" spans="1:26" ht="15">
      <c r="A7" s="5" t="str">
        <f t="shared" si="0"/>
        <v>완료</v>
      </c>
      <c r="B7" s="5">
        <v>6</v>
      </c>
      <c r="C7" s="5" t="s">
        <v>632</v>
      </c>
      <c r="D7" s="5" t="s">
        <v>73</v>
      </c>
      <c r="E7" s="5" t="s">
        <v>73</v>
      </c>
      <c r="F7" s="5" t="s">
        <v>74</v>
      </c>
      <c r="G7" s="5" t="s">
        <v>65</v>
      </c>
      <c r="H7" s="5" t="s">
        <v>627</v>
      </c>
      <c r="I7" s="7">
        <v>2328</v>
      </c>
      <c r="J7" s="7">
        <v>980</v>
      </c>
      <c r="K7" s="11">
        <f>IF(I7="","",I7/Config!$B$2*100)</f>
        <v>45.46875</v>
      </c>
      <c r="L7" s="11">
        <f>IF(J7="","",J7/Config!$B$3*100)</f>
        <v>34.027777777777779</v>
      </c>
      <c r="M7" s="5">
        <v>12</v>
      </c>
      <c r="N7" s="6" t="b">
        <v>1</v>
      </c>
      <c r="O7" s="6" t="b">
        <v>0</v>
      </c>
      <c r="P7" s="6" t="b">
        <v>1</v>
      </c>
      <c r="Q7" s="5"/>
      <c r="R7" s="5"/>
    </row>
    <row r="8" spans="1:26" ht="15">
      <c r="A8" s="5" t="str">
        <f t="shared" si="0"/>
        <v>완료</v>
      </c>
      <c r="B8" s="5">
        <v>7</v>
      </c>
      <c r="C8" s="5" t="s">
        <v>633</v>
      </c>
      <c r="D8" s="5" t="s">
        <v>75</v>
      </c>
      <c r="E8" s="5" t="s">
        <v>75</v>
      </c>
      <c r="F8" s="5" t="s">
        <v>76</v>
      </c>
      <c r="G8" s="5" t="s">
        <v>65</v>
      </c>
      <c r="H8" s="5" t="s">
        <v>627</v>
      </c>
      <c r="I8" s="7">
        <v>2528</v>
      </c>
      <c r="J8" s="7">
        <v>980</v>
      </c>
      <c r="K8" s="11">
        <f>IF(I8="","",I8/Config!$B$2*100)</f>
        <v>49.375</v>
      </c>
      <c r="L8" s="11">
        <f>IF(J8="","",J8/Config!$B$3*100)</f>
        <v>34.027777777777779</v>
      </c>
      <c r="M8" s="5">
        <v>12</v>
      </c>
      <c r="N8" s="6" t="b">
        <v>1</v>
      </c>
      <c r="O8" s="6" t="b">
        <v>0</v>
      </c>
      <c r="P8" s="6" t="b">
        <v>1</v>
      </c>
      <c r="Q8" s="5"/>
      <c r="R8" s="5"/>
    </row>
    <row r="9" spans="1:26" ht="15">
      <c r="A9" s="5" t="str">
        <f t="shared" si="0"/>
        <v>완료</v>
      </c>
      <c r="B9" s="5">
        <v>8</v>
      </c>
      <c r="C9" s="5" t="s">
        <v>634</v>
      </c>
      <c r="D9" s="5" t="s">
        <v>79</v>
      </c>
      <c r="E9" s="5" t="s">
        <v>79</v>
      </c>
      <c r="F9" s="5" t="s">
        <v>80</v>
      </c>
      <c r="G9" s="5" t="s">
        <v>65</v>
      </c>
      <c r="H9" s="5" t="s">
        <v>627</v>
      </c>
      <c r="I9" s="7">
        <v>2712</v>
      </c>
      <c r="J9" s="7">
        <v>980</v>
      </c>
      <c r="K9" s="11">
        <f>IF(I9="","",I9/Config!$B$2*100)</f>
        <v>52.96875</v>
      </c>
      <c r="L9" s="11">
        <f>IF(J9="","",J9/Config!$B$3*100)</f>
        <v>34.027777777777779</v>
      </c>
      <c r="M9" s="5">
        <v>12</v>
      </c>
      <c r="N9" s="6" t="b">
        <v>1</v>
      </c>
      <c r="O9" s="6" t="b">
        <v>0</v>
      </c>
      <c r="P9" s="6" t="b">
        <v>1</v>
      </c>
      <c r="Q9" s="5"/>
      <c r="R9" s="5"/>
    </row>
    <row r="10" spans="1:26" ht="15">
      <c r="A10" s="5" t="str">
        <f t="shared" si="0"/>
        <v>완료</v>
      </c>
      <c r="B10" s="5">
        <v>9</v>
      </c>
      <c r="C10" s="5" t="s">
        <v>635</v>
      </c>
      <c r="D10" s="5" t="s">
        <v>82</v>
      </c>
      <c r="E10" s="5" t="s">
        <v>82</v>
      </c>
      <c r="F10" s="5" t="s">
        <v>83</v>
      </c>
      <c r="G10" s="5" t="s">
        <v>65</v>
      </c>
      <c r="H10" s="5" t="s">
        <v>627</v>
      </c>
      <c r="I10" s="7">
        <v>2864</v>
      </c>
      <c r="J10" s="7">
        <v>980</v>
      </c>
      <c r="K10" s="11">
        <f>IF(I10="","",I10/Config!$B$2*100)</f>
        <v>55.937499999999993</v>
      </c>
      <c r="L10" s="11">
        <f>IF(J10="","",J10/Config!$B$3*100)</f>
        <v>34.027777777777779</v>
      </c>
      <c r="M10" s="5">
        <v>10</v>
      </c>
      <c r="N10" s="6" t="b">
        <v>0</v>
      </c>
      <c r="O10" s="6" t="b">
        <v>0</v>
      </c>
      <c r="P10" s="6" t="b">
        <v>1</v>
      </c>
      <c r="Q10" s="5"/>
      <c r="R10" s="5"/>
    </row>
    <row r="11" spans="1:26" ht="15">
      <c r="A11" s="5" t="str">
        <f t="shared" si="0"/>
        <v>완료</v>
      </c>
      <c r="B11" s="5">
        <v>10</v>
      </c>
      <c r="C11" s="5" t="s">
        <v>636</v>
      </c>
      <c r="D11" s="5" t="s">
        <v>84</v>
      </c>
      <c r="E11" s="5" t="s">
        <v>84</v>
      </c>
      <c r="F11" s="5" t="s">
        <v>85</v>
      </c>
      <c r="G11" s="5" t="s">
        <v>65</v>
      </c>
      <c r="H11" s="5" t="s">
        <v>627</v>
      </c>
      <c r="I11" s="7">
        <v>3020</v>
      </c>
      <c r="J11" s="7">
        <v>980</v>
      </c>
      <c r="K11" s="11">
        <f>IF(I11="","",I11/Config!$B$2*100)</f>
        <v>58.984375</v>
      </c>
      <c r="L11" s="11">
        <f>IF(J11="","",J11/Config!$B$3*100)</f>
        <v>34.027777777777779</v>
      </c>
      <c r="M11" s="5">
        <v>10</v>
      </c>
      <c r="N11" s="6" t="b">
        <v>0</v>
      </c>
      <c r="O11" s="6" t="b">
        <v>1</v>
      </c>
      <c r="P11" s="6" t="b">
        <v>1</v>
      </c>
      <c r="Q11" s="5" t="s">
        <v>86</v>
      </c>
      <c r="R11" s="5"/>
    </row>
    <row r="12" spans="1:26" ht="15">
      <c r="A12" s="5" t="str">
        <f t="shared" si="0"/>
        <v>완료</v>
      </c>
      <c r="B12" s="5">
        <v>11</v>
      </c>
      <c r="C12" s="5" t="s">
        <v>637</v>
      </c>
      <c r="D12" s="5" t="s">
        <v>59</v>
      </c>
      <c r="E12" s="5" t="s">
        <v>59</v>
      </c>
      <c r="F12" s="5" t="s">
        <v>60</v>
      </c>
      <c r="G12" s="5" t="s">
        <v>89</v>
      </c>
      <c r="H12" s="5" t="s">
        <v>627</v>
      </c>
      <c r="I12" s="7">
        <v>1916</v>
      </c>
      <c r="J12" s="7">
        <v>1144</v>
      </c>
      <c r="K12" s="11">
        <f>IF(I12="","",I12/Config!$B$2*100)</f>
        <v>37.421875</v>
      </c>
      <c r="L12" s="11">
        <f>IF(J12="","",J12/Config!$B$3*100)</f>
        <v>39.722222222222221</v>
      </c>
      <c r="M12" s="5">
        <v>12</v>
      </c>
      <c r="N12" s="6" t="b">
        <v>1</v>
      </c>
      <c r="O12" s="6" t="b">
        <v>1</v>
      </c>
      <c r="P12" s="6" t="b">
        <v>0</v>
      </c>
      <c r="Q12" s="5"/>
      <c r="R12" s="5"/>
    </row>
    <row r="13" spans="1:26" ht="15">
      <c r="A13" s="5" t="str">
        <f t="shared" si="0"/>
        <v>완료</v>
      </c>
      <c r="B13" s="5">
        <v>12</v>
      </c>
      <c r="C13" s="5" t="s">
        <v>638</v>
      </c>
      <c r="D13" s="5" t="s">
        <v>79</v>
      </c>
      <c r="E13" s="5" t="s">
        <v>79</v>
      </c>
      <c r="F13" s="5" t="s">
        <v>80</v>
      </c>
      <c r="G13" s="5" t="s">
        <v>89</v>
      </c>
      <c r="H13" s="5" t="s">
        <v>639</v>
      </c>
      <c r="I13" s="7">
        <v>2712</v>
      </c>
      <c r="J13" s="7">
        <v>980</v>
      </c>
      <c r="K13" s="11">
        <f>IF(I13="","",I13/Config!$B$2*100)</f>
        <v>52.96875</v>
      </c>
      <c r="L13" s="11">
        <f>IF(J13="","",J13/Config!$B$3*100)</f>
        <v>34.027777777777779</v>
      </c>
      <c r="M13" s="5">
        <v>12</v>
      </c>
      <c r="N13" s="6" t="b">
        <v>1</v>
      </c>
      <c r="O13" s="6" t="b">
        <v>1</v>
      </c>
      <c r="P13" s="6" t="b">
        <v>0</v>
      </c>
      <c r="Q13" s="5"/>
      <c r="R13" s="5"/>
    </row>
    <row r="14" spans="1:26" ht="15">
      <c r="A14" s="5" t="str">
        <f t="shared" si="0"/>
        <v>완료</v>
      </c>
      <c r="B14" s="5">
        <v>13</v>
      </c>
      <c r="C14" s="5" t="s">
        <v>640</v>
      </c>
      <c r="D14" s="5" t="s">
        <v>87</v>
      </c>
      <c r="E14" s="5" t="s">
        <v>87</v>
      </c>
      <c r="F14" s="5" t="s">
        <v>88</v>
      </c>
      <c r="G14" s="5" t="s">
        <v>89</v>
      </c>
      <c r="H14" s="5" t="s">
        <v>627</v>
      </c>
      <c r="I14" s="7">
        <v>2000</v>
      </c>
      <c r="J14" s="7">
        <v>1144</v>
      </c>
      <c r="K14" s="11">
        <f>IF(I14="","",I14/Config!$B$2*100)</f>
        <v>39.0625</v>
      </c>
      <c r="L14" s="11">
        <f>IF(J14="","",J14/Config!$B$3*100)</f>
        <v>39.722222222222221</v>
      </c>
      <c r="M14" s="5">
        <v>10</v>
      </c>
      <c r="N14" s="6" t="b">
        <v>0</v>
      </c>
      <c r="O14" s="6" t="b">
        <v>0</v>
      </c>
      <c r="P14" s="6" t="b">
        <v>1</v>
      </c>
      <c r="Q14" s="5"/>
      <c r="R14" s="5"/>
    </row>
    <row r="15" spans="1:26" ht="15">
      <c r="A15" s="5" t="str">
        <f t="shared" si="0"/>
        <v>완료</v>
      </c>
      <c r="B15" s="5">
        <v>14</v>
      </c>
      <c r="C15" s="5" t="s">
        <v>641</v>
      </c>
      <c r="D15" s="5" t="s">
        <v>91</v>
      </c>
      <c r="E15" s="5" t="s">
        <v>91</v>
      </c>
      <c r="F15" s="5" t="s">
        <v>92</v>
      </c>
      <c r="G15" s="5" t="s">
        <v>89</v>
      </c>
      <c r="H15" s="5" t="s">
        <v>627</v>
      </c>
      <c r="I15" s="7">
        <v>2084</v>
      </c>
      <c r="J15" s="7">
        <v>1144</v>
      </c>
      <c r="K15" s="11">
        <f>IF(I15="","",I15/Config!$B$2*100)</f>
        <v>40.703125</v>
      </c>
      <c r="L15" s="11">
        <f>IF(J15="","",J15/Config!$B$3*100)</f>
        <v>39.722222222222221</v>
      </c>
      <c r="M15" s="5">
        <v>12</v>
      </c>
      <c r="N15" s="6" t="b">
        <v>1</v>
      </c>
      <c r="O15" s="6" t="b">
        <v>0</v>
      </c>
      <c r="P15" s="6" t="b">
        <v>1</v>
      </c>
      <c r="Q15" s="5"/>
      <c r="R15" s="5"/>
    </row>
    <row r="16" spans="1:26" ht="15">
      <c r="A16" s="5" t="str">
        <f t="shared" si="0"/>
        <v>완료</v>
      </c>
      <c r="B16" s="5">
        <v>15</v>
      </c>
      <c r="C16" s="5" t="s">
        <v>642</v>
      </c>
      <c r="D16" s="5" t="s">
        <v>95</v>
      </c>
      <c r="E16" s="5" t="s">
        <v>95</v>
      </c>
      <c r="F16" s="5" t="s">
        <v>96</v>
      </c>
      <c r="G16" s="5" t="s">
        <v>89</v>
      </c>
      <c r="H16" s="5" t="s">
        <v>627</v>
      </c>
      <c r="I16" s="7">
        <v>2200</v>
      </c>
      <c r="J16" s="7">
        <v>1144</v>
      </c>
      <c r="K16" s="11">
        <f>IF(I16="","",I16/Config!$B$2*100)</f>
        <v>42.96875</v>
      </c>
      <c r="L16" s="11">
        <f>IF(J16="","",J16/Config!$B$3*100)</f>
        <v>39.722222222222221</v>
      </c>
      <c r="M16" s="5">
        <v>12</v>
      </c>
      <c r="N16" s="6" t="b">
        <v>1</v>
      </c>
      <c r="O16" s="6" t="b">
        <v>0</v>
      </c>
      <c r="P16" s="6" t="b">
        <v>1</v>
      </c>
      <c r="Q16" s="5"/>
      <c r="R16" s="5"/>
    </row>
    <row r="17" spans="1:18" ht="15">
      <c r="A17" s="5" t="str">
        <f t="shared" si="0"/>
        <v>완료</v>
      </c>
      <c r="B17" s="5">
        <v>16</v>
      </c>
      <c r="C17" s="5" t="s">
        <v>643</v>
      </c>
      <c r="D17" s="5" t="s">
        <v>99</v>
      </c>
      <c r="E17" s="5" t="s">
        <v>99</v>
      </c>
      <c r="F17" s="5" t="s">
        <v>100</v>
      </c>
      <c r="G17" s="5" t="s">
        <v>89</v>
      </c>
      <c r="H17" s="5" t="s">
        <v>627</v>
      </c>
      <c r="I17" s="7">
        <v>2328</v>
      </c>
      <c r="J17" s="7">
        <v>1144</v>
      </c>
      <c r="K17" s="11">
        <f>IF(I17="","",I17/Config!$B$2*100)</f>
        <v>45.46875</v>
      </c>
      <c r="L17" s="11">
        <f>IF(J17="","",J17/Config!$B$3*100)</f>
        <v>39.722222222222221</v>
      </c>
      <c r="M17" s="5">
        <v>12</v>
      </c>
      <c r="N17" s="6" t="b">
        <v>1</v>
      </c>
      <c r="O17" s="6" t="b">
        <v>0</v>
      </c>
      <c r="P17" s="6" t="b">
        <v>1</v>
      </c>
      <c r="Q17" s="5" t="s">
        <v>103</v>
      </c>
      <c r="R17" s="5"/>
    </row>
    <row r="18" spans="1:18" ht="15">
      <c r="A18" s="5" t="str">
        <f t="shared" si="0"/>
        <v>완료</v>
      </c>
      <c r="B18" s="5">
        <v>17</v>
      </c>
      <c r="C18" s="5" t="s">
        <v>644</v>
      </c>
      <c r="D18" s="5" t="s">
        <v>104</v>
      </c>
      <c r="E18" s="5" t="s">
        <v>104</v>
      </c>
      <c r="F18" s="5" t="s">
        <v>105</v>
      </c>
      <c r="G18" s="5" t="s">
        <v>89</v>
      </c>
      <c r="H18" s="5" t="s">
        <v>627</v>
      </c>
      <c r="I18" s="7">
        <v>2528</v>
      </c>
      <c r="J18" s="7">
        <v>1144</v>
      </c>
      <c r="K18" s="11">
        <f>IF(I18="","",I18/Config!$B$2*100)</f>
        <v>49.375</v>
      </c>
      <c r="L18" s="11">
        <f>IF(J18="","",J18/Config!$B$3*100)</f>
        <v>39.722222222222221</v>
      </c>
      <c r="M18" s="5">
        <v>12</v>
      </c>
      <c r="N18" s="6" t="b">
        <v>1</v>
      </c>
      <c r="O18" s="6" t="b">
        <v>0</v>
      </c>
      <c r="P18" s="6" t="b">
        <v>1</v>
      </c>
      <c r="Q18" s="5"/>
      <c r="R18" s="5"/>
    </row>
    <row r="19" spans="1:18" ht="15">
      <c r="A19" s="5" t="str">
        <f t="shared" si="0"/>
        <v>완료</v>
      </c>
      <c r="B19" s="5">
        <v>18</v>
      </c>
      <c r="C19" s="5" t="s">
        <v>645</v>
      </c>
      <c r="D19" s="5" t="s">
        <v>108</v>
      </c>
      <c r="E19" s="5" t="s">
        <v>108</v>
      </c>
      <c r="F19" s="5" t="s">
        <v>109</v>
      </c>
      <c r="G19" s="5" t="s">
        <v>89</v>
      </c>
      <c r="H19" s="5" t="s">
        <v>627</v>
      </c>
      <c r="I19" s="7">
        <v>2628</v>
      </c>
      <c r="J19" s="7">
        <v>1144</v>
      </c>
      <c r="K19" s="11">
        <f>IF(I19="","",I19/Config!$B$2*100)</f>
        <v>51.328125</v>
      </c>
      <c r="L19" s="11">
        <f>IF(J19="","",J19/Config!$B$3*100)</f>
        <v>39.722222222222221</v>
      </c>
      <c r="M19" s="5">
        <v>10</v>
      </c>
      <c r="N19" s="6" t="b">
        <v>0</v>
      </c>
      <c r="O19" s="6" t="b">
        <v>0</v>
      </c>
      <c r="P19" s="6" t="b">
        <v>1</v>
      </c>
      <c r="Q19" s="5"/>
      <c r="R19" s="5"/>
    </row>
    <row r="20" spans="1:18" ht="15">
      <c r="A20" s="5" t="str">
        <f t="shared" si="0"/>
        <v>완료</v>
      </c>
      <c r="B20" s="5">
        <v>19</v>
      </c>
      <c r="C20" s="5" t="s">
        <v>646</v>
      </c>
      <c r="D20" s="5" t="s">
        <v>110</v>
      </c>
      <c r="E20" s="5" t="s">
        <v>110</v>
      </c>
      <c r="F20" s="5" t="s">
        <v>111</v>
      </c>
      <c r="G20" s="5" t="s">
        <v>89</v>
      </c>
      <c r="H20" s="5" t="s">
        <v>627</v>
      </c>
      <c r="I20" s="7">
        <v>2740</v>
      </c>
      <c r="J20" s="7">
        <v>1144</v>
      </c>
      <c r="K20" s="11">
        <f>IF(I20="","",I20/Config!$B$2*100)</f>
        <v>53.515625</v>
      </c>
      <c r="L20" s="11">
        <f>IF(J20="","",J20/Config!$B$3*100)</f>
        <v>39.722222222222221</v>
      </c>
      <c r="M20" s="5">
        <v>12</v>
      </c>
      <c r="N20" s="6" t="b">
        <v>1</v>
      </c>
      <c r="O20" s="6" t="b">
        <v>0</v>
      </c>
      <c r="P20" s="6" t="b">
        <v>1</v>
      </c>
      <c r="Q20" s="5"/>
      <c r="R20" s="5"/>
    </row>
    <row r="21" spans="1:18" ht="15">
      <c r="A21" s="5" t="str">
        <f t="shared" si="0"/>
        <v>완료</v>
      </c>
      <c r="B21" s="5">
        <v>20</v>
      </c>
      <c r="C21" s="5" t="s">
        <v>647</v>
      </c>
      <c r="D21" s="5" t="s">
        <v>112</v>
      </c>
      <c r="E21" s="5" t="s">
        <v>112</v>
      </c>
      <c r="F21" s="5" t="s">
        <v>113</v>
      </c>
      <c r="G21" s="5" t="s">
        <v>89</v>
      </c>
      <c r="H21" s="5" t="s">
        <v>627</v>
      </c>
      <c r="I21" s="7">
        <v>2864</v>
      </c>
      <c r="J21" s="7">
        <v>1188</v>
      </c>
      <c r="K21" s="11">
        <f>IF(I21="","",I21/Config!$B$2*100)</f>
        <v>55.937499999999993</v>
      </c>
      <c r="L21" s="11">
        <f>IF(J21="","",J21/Config!$B$3*100)</f>
        <v>41.25</v>
      </c>
      <c r="M21" s="5">
        <v>10</v>
      </c>
      <c r="N21" s="6" t="b">
        <v>0</v>
      </c>
      <c r="O21" s="6" t="b">
        <v>0</v>
      </c>
      <c r="P21" s="6" t="b">
        <v>1</v>
      </c>
      <c r="Q21" s="5"/>
      <c r="R21" s="5"/>
    </row>
    <row r="22" spans="1:18" ht="15">
      <c r="A22" s="5" t="str">
        <f t="shared" si="0"/>
        <v>완료</v>
      </c>
      <c r="B22" s="5">
        <v>21</v>
      </c>
      <c r="C22" s="5" t="s">
        <v>648</v>
      </c>
      <c r="D22" s="5" t="s">
        <v>114</v>
      </c>
      <c r="E22" s="5" t="s">
        <v>114</v>
      </c>
      <c r="F22" s="5" t="s">
        <v>115</v>
      </c>
      <c r="G22" s="5" t="s">
        <v>89</v>
      </c>
      <c r="H22" s="5" t="s">
        <v>627</v>
      </c>
      <c r="I22" s="7">
        <v>2920</v>
      </c>
      <c r="J22" s="7">
        <v>1244</v>
      </c>
      <c r="K22" s="11">
        <f>IF(I22="","",I22/Config!$B$2*100)</f>
        <v>57.03125</v>
      </c>
      <c r="L22" s="11">
        <f>IF(J22="","",J22/Config!$B$3*100)</f>
        <v>43.194444444444443</v>
      </c>
      <c r="M22" s="5">
        <v>10</v>
      </c>
      <c r="N22" s="6" t="b">
        <v>0</v>
      </c>
      <c r="O22" s="6" t="b">
        <v>0</v>
      </c>
      <c r="P22" s="6" t="b">
        <v>1</v>
      </c>
      <c r="Q22" s="5"/>
      <c r="R22" s="5"/>
    </row>
    <row r="23" spans="1:18" ht="15">
      <c r="A23" s="5" t="str">
        <f t="shared" si="0"/>
        <v>완료</v>
      </c>
      <c r="B23" s="5">
        <v>22</v>
      </c>
      <c r="C23" s="5" t="s">
        <v>649</v>
      </c>
      <c r="D23" s="5" t="s">
        <v>116</v>
      </c>
      <c r="E23" s="5" t="s">
        <v>116</v>
      </c>
      <c r="F23" s="5" t="s">
        <v>117</v>
      </c>
      <c r="G23" s="5" t="s">
        <v>89</v>
      </c>
      <c r="H23" s="5" t="s">
        <v>650</v>
      </c>
      <c r="I23" s="7">
        <v>2972</v>
      </c>
      <c r="J23" s="7">
        <v>1294</v>
      </c>
      <c r="K23" s="11">
        <f>IF(I23="","",I23/Config!$B$2*100)</f>
        <v>58.046875</v>
      </c>
      <c r="L23" s="11">
        <f>IF(J23="","",J23/Config!$B$3*100)</f>
        <v>44.930555555555557</v>
      </c>
      <c r="M23" s="5">
        <v>10</v>
      </c>
      <c r="N23" s="6" t="b">
        <v>0</v>
      </c>
      <c r="O23" s="6" t="b">
        <v>1</v>
      </c>
      <c r="P23" s="6" t="b">
        <v>1</v>
      </c>
      <c r="Q23" s="5"/>
      <c r="R23" s="5"/>
    </row>
    <row r="24" spans="1:18" ht="15">
      <c r="A24" s="5" t="str">
        <f t="shared" si="0"/>
        <v>완료</v>
      </c>
      <c r="B24" s="5">
        <v>23</v>
      </c>
      <c r="C24" s="5" t="s">
        <v>651</v>
      </c>
      <c r="D24" s="5" t="s">
        <v>119</v>
      </c>
      <c r="E24" s="5" t="s">
        <v>119</v>
      </c>
      <c r="F24" s="5" t="s">
        <v>120</v>
      </c>
      <c r="G24" s="5" t="s">
        <v>89</v>
      </c>
      <c r="H24" s="5" t="s">
        <v>627</v>
      </c>
      <c r="I24" s="7">
        <v>2972</v>
      </c>
      <c r="J24" s="7">
        <v>1468</v>
      </c>
      <c r="K24" s="11">
        <f>IF(I24="","",I24/Config!$B$2*100)</f>
        <v>58.046875</v>
      </c>
      <c r="L24" s="11">
        <f>IF(J24="","",J24/Config!$B$3*100)</f>
        <v>50.972222222222221</v>
      </c>
      <c r="M24" s="5">
        <v>12</v>
      </c>
      <c r="N24" s="6" t="b">
        <v>1</v>
      </c>
      <c r="O24" s="6" t="b">
        <v>0</v>
      </c>
      <c r="P24" s="6" t="b">
        <v>1</v>
      </c>
      <c r="Q24" s="5"/>
      <c r="R24" s="5"/>
    </row>
    <row r="25" spans="1:18" ht="15">
      <c r="A25" s="5" t="str">
        <f t="shared" si="0"/>
        <v>완료</v>
      </c>
      <c r="B25" s="5">
        <v>24</v>
      </c>
      <c r="C25" s="5" t="s">
        <v>652</v>
      </c>
      <c r="D25" s="5" t="s">
        <v>123</v>
      </c>
      <c r="E25" s="5" t="s">
        <v>123</v>
      </c>
      <c r="F25" s="5" t="s">
        <v>124</v>
      </c>
      <c r="G25" s="5" t="s">
        <v>89</v>
      </c>
      <c r="H25" s="5" t="s">
        <v>627</v>
      </c>
      <c r="I25" s="7">
        <v>2972</v>
      </c>
      <c r="J25" s="7">
        <v>1552</v>
      </c>
      <c r="K25" s="11">
        <f>IF(I25="","",I25/Config!$B$2*100)</f>
        <v>58.046875</v>
      </c>
      <c r="L25" s="11">
        <f>IF(J25="","",J25/Config!$B$3*100)</f>
        <v>53.888888888888886</v>
      </c>
      <c r="M25" s="5">
        <v>10</v>
      </c>
      <c r="N25" s="6" t="b">
        <v>0</v>
      </c>
      <c r="O25" s="6" t="b">
        <v>0</v>
      </c>
      <c r="P25" s="6" t="b">
        <v>1</v>
      </c>
      <c r="Q25" s="5"/>
      <c r="R25" s="5"/>
    </row>
    <row r="26" spans="1:18" ht="15">
      <c r="A26" s="5" t="str">
        <f t="shared" si="0"/>
        <v>완료</v>
      </c>
      <c r="B26" s="5">
        <v>25</v>
      </c>
      <c r="C26" s="5" t="s">
        <v>653</v>
      </c>
      <c r="D26" s="5" t="s">
        <v>125</v>
      </c>
      <c r="E26" s="5" t="s">
        <v>125</v>
      </c>
      <c r="F26" s="5" t="s">
        <v>126</v>
      </c>
      <c r="G26" s="5" t="s">
        <v>89</v>
      </c>
      <c r="H26" s="5" t="s">
        <v>627</v>
      </c>
      <c r="I26" s="7">
        <v>2972</v>
      </c>
      <c r="J26" s="7">
        <v>1628</v>
      </c>
      <c r="K26" s="11">
        <f>IF(I26="","",I26/Config!$B$2*100)</f>
        <v>58.046875</v>
      </c>
      <c r="L26" s="11">
        <f>IF(J26="","",J26/Config!$B$3*100)</f>
        <v>56.527777777777779</v>
      </c>
      <c r="M26" s="5">
        <v>10</v>
      </c>
      <c r="N26" s="6" t="b">
        <v>0</v>
      </c>
      <c r="O26" s="6" t="b">
        <v>0</v>
      </c>
      <c r="P26" s="6" t="b">
        <v>1</v>
      </c>
      <c r="Q26" s="5"/>
      <c r="R26" s="5"/>
    </row>
    <row r="27" spans="1:18" ht="15">
      <c r="A27" s="5" t="str">
        <f t="shared" si="0"/>
        <v>완료</v>
      </c>
      <c r="B27" s="5">
        <v>26</v>
      </c>
      <c r="C27" s="5" t="s">
        <v>654</v>
      </c>
      <c r="D27" s="5" t="s">
        <v>127</v>
      </c>
      <c r="E27" s="5" t="s">
        <v>127</v>
      </c>
      <c r="F27" s="5" t="s">
        <v>128</v>
      </c>
      <c r="G27" s="5" t="s">
        <v>89</v>
      </c>
      <c r="H27" s="5" t="s">
        <v>627</v>
      </c>
      <c r="I27" s="7">
        <v>2972</v>
      </c>
      <c r="J27" s="7">
        <v>1708</v>
      </c>
      <c r="K27" s="11">
        <f>IF(I27="","",I27/Config!$B$2*100)</f>
        <v>58.046875</v>
      </c>
      <c r="L27" s="11">
        <f>IF(J27="","",J27/Config!$B$3*100)</f>
        <v>59.305555555555557</v>
      </c>
      <c r="M27" s="5">
        <v>10</v>
      </c>
      <c r="N27" s="6" t="b">
        <v>0</v>
      </c>
      <c r="O27" s="6" t="b">
        <v>0</v>
      </c>
      <c r="P27" s="6" t="b">
        <v>1</v>
      </c>
      <c r="Q27" s="5"/>
      <c r="R27" s="5"/>
    </row>
    <row r="28" spans="1:18" ht="15">
      <c r="A28" s="5" t="str">
        <f t="shared" si="0"/>
        <v>완료</v>
      </c>
      <c r="B28" s="5">
        <v>27</v>
      </c>
      <c r="C28" s="5" t="s">
        <v>655</v>
      </c>
      <c r="D28" s="5" t="s">
        <v>129</v>
      </c>
      <c r="E28" s="5" t="s">
        <v>129</v>
      </c>
      <c r="F28" s="5" t="s">
        <v>130</v>
      </c>
      <c r="G28" s="5" t="s">
        <v>89</v>
      </c>
      <c r="H28" s="5" t="s">
        <v>627</v>
      </c>
      <c r="I28" s="7">
        <v>2972</v>
      </c>
      <c r="J28" s="7">
        <v>1800</v>
      </c>
      <c r="K28" s="11">
        <f>IF(I28="","",I28/Config!$B$2*100)</f>
        <v>58.046875</v>
      </c>
      <c r="L28" s="11">
        <f>IF(J28="","",J28/Config!$B$3*100)</f>
        <v>62.5</v>
      </c>
      <c r="M28" s="5">
        <v>12</v>
      </c>
      <c r="N28" s="6" t="b">
        <v>1</v>
      </c>
      <c r="O28" s="6" t="b">
        <v>0</v>
      </c>
      <c r="P28" s="6" t="b">
        <v>1</v>
      </c>
      <c r="Q28" s="5"/>
      <c r="R28" s="5"/>
    </row>
    <row r="29" spans="1:18" ht="15">
      <c r="A29" s="5" t="str">
        <f t="shared" si="0"/>
        <v>완료</v>
      </c>
      <c r="B29" s="5">
        <v>28</v>
      </c>
      <c r="C29" s="5" t="s">
        <v>656</v>
      </c>
      <c r="D29" s="5" t="s">
        <v>133</v>
      </c>
      <c r="E29" s="5" t="s">
        <v>133</v>
      </c>
      <c r="F29" s="5" t="s">
        <v>134</v>
      </c>
      <c r="G29" s="5" t="s">
        <v>89</v>
      </c>
      <c r="H29" s="5" t="s">
        <v>627</v>
      </c>
      <c r="I29" s="7">
        <v>2972</v>
      </c>
      <c r="J29" s="7">
        <v>1882</v>
      </c>
      <c r="K29" s="11">
        <f>IF(I29="","",I29/Config!$B$2*100)</f>
        <v>58.046875</v>
      </c>
      <c r="L29" s="11">
        <f>IF(J29="","",J29/Config!$B$3*100)</f>
        <v>65.347222222222229</v>
      </c>
      <c r="M29" s="5">
        <v>10</v>
      </c>
      <c r="N29" s="6" t="b">
        <v>0</v>
      </c>
      <c r="O29" s="6" t="b">
        <v>0</v>
      </c>
      <c r="P29" s="6" t="b">
        <v>1</v>
      </c>
      <c r="Q29" s="5"/>
      <c r="R29" s="5"/>
    </row>
    <row r="30" spans="1:18" ht="15">
      <c r="A30" s="5" t="str">
        <f t="shared" si="0"/>
        <v>완료</v>
      </c>
      <c r="B30" s="5">
        <v>29</v>
      </c>
      <c r="C30" s="5" t="s">
        <v>657</v>
      </c>
      <c r="D30" s="5" t="s">
        <v>135</v>
      </c>
      <c r="E30" s="5" t="s">
        <v>135</v>
      </c>
      <c r="F30" s="5" t="s">
        <v>136</v>
      </c>
      <c r="G30" s="5" t="s">
        <v>89</v>
      </c>
      <c r="H30" s="5" t="s">
        <v>627</v>
      </c>
      <c r="I30" s="7">
        <v>2972</v>
      </c>
      <c r="J30" s="7">
        <v>1964</v>
      </c>
      <c r="K30" s="11">
        <f>IF(I30="","",I30/Config!$B$2*100)</f>
        <v>58.046875</v>
      </c>
      <c r="L30" s="11">
        <f>IF(J30="","",J30/Config!$B$3*100)</f>
        <v>68.194444444444443</v>
      </c>
      <c r="M30" s="5">
        <v>10</v>
      </c>
      <c r="N30" s="6" t="b">
        <v>0</v>
      </c>
      <c r="O30" s="6" t="b">
        <v>0</v>
      </c>
      <c r="P30" s="6" t="b">
        <v>1</v>
      </c>
      <c r="Q30" s="5"/>
      <c r="R30" s="5"/>
    </row>
    <row r="31" spans="1:18" ht="15">
      <c r="A31" s="5" t="str">
        <f t="shared" si="0"/>
        <v>완료</v>
      </c>
      <c r="B31" s="5">
        <v>30</v>
      </c>
      <c r="C31" s="5" t="s">
        <v>658</v>
      </c>
      <c r="D31" s="5" t="s">
        <v>137</v>
      </c>
      <c r="E31" s="5" t="s">
        <v>137</v>
      </c>
      <c r="F31" s="5" t="s">
        <v>138</v>
      </c>
      <c r="G31" s="5" t="s">
        <v>89</v>
      </c>
      <c r="H31" s="5" t="s">
        <v>627</v>
      </c>
      <c r="I31" s="7">
        <v>2874</v>
      </c>
      <c r="J31" s="7">
        <v>2040</v>
      </c>
      <c r="K31" s="11">
        <f>IF(I31="","",I31/Config!$B$2*100)</f>
        <v>56.132812499999993</v>
      </c>
      <c r="L31" s="11">
        <f>IF(J31="","",J31/Config!$B$3*100)</f>
        <v>70.833333333333343</v>
      </c>
      <c r="M31" s="5">
        <v>10</v>
      </c>
      <c r="N31" s="6" t="b">
        <v>0</v>
      </c>
      <c r="O31" s="6" t="b">
        <v>0</v>
      </c>
      <c r="P31" s="6" t="b">
        <v>1</v>
      </c>
      <c r="Q31" s="5"/>
      <c r="R31" s="5"/>
    </row>
    <row r="32" spans="1:18" ht="15">
      <c r="A32" s="5" t="str">
        <f t="shared" si="0"/>
        <v>완료</v>
      </c>
      <c r="B32" s="5">
        <v>31</v>
      </c>
      <c r="C32" s="5" t="s">
        <v>659</v>
      </c>
      <c r="D32" s="5" t="s">
        <v>139</v>
      </c>
      <c r="E32" s="5" t="s">
        <v>139</v>
      </c>
      <c r="F32" s="5" t="s">
        <v>140</v>
      </c>
      <c r="G32" s="5" t="s">
        <v>89</v>
      </c>
      <c r="H32" s="5" t="s">
        <v>627</v>
      </c>
      <c r="I32" s="7">
        <v>2776</v>
      </c>
      <c r="J32" s="7">
        <v>2116</v>
      </c>
      <c r="K32" s="11">
        <f>IF(I32="","",I32/Config!$B$2*100)</f>
        <v>54.218750000000007</v>
      </c>
      <c r="L32" s="11">
        <f>IF(J32="","",J32/Config!$B$3*100)</f>
        <v>73.472222222222229</v>
      </c>
      <c r="M32" s="5">
        <v>10</v>
      </c>
      <c r="N32" s="6" t="b">
        <v>0</v>
      </c>
      <c r="O32" s="6" t="b">
        <v>0</v>
      </c>
      <c r="P32" s="6" t="b">
        <v>1</v>
      </c>
      <c r="Q32" s="5"/>
      <c r="R32" s="5"/>
    </row>
    <row r="33" spans="1:18" ht="15">
      <c r="A33" s="5" t="str">
        <f t="shared" si="0"/>
        <v>완료</v>
      </c>
      <c r="B33" s="5">
        <v>32</v>
      </c>
      <c r="C33" s="5" t="s">
        <v>660</v>
      </c>
      <c r="D33" s="5" t="s">
        <v>141</v>
      </c>
      <c r="E33" s="5" t="s">
        <v>141</v>
      </c>
      <c r="F33" s="5" t="s">
        <v>142</v>
      </c>
      <c r="G33" s="5" t="s">
        <v>89</v>
      </c>
      <c r="H33" s="5" t="s">
        <v>627</v>
      </c>
      <c r="I33" s="7">
        <v>2696</v>
      </c>
      <c r="J33" s="7">
        <v>2116</v>
      </c>
      <c r="K33" s="11">
        <f>IF(I33="","",I33/Config!$B$2*100)</f>
        <v>52.656250000000007</v>
      </c>
      <c r="L33" s="11">
        <f>IF(J33="","",J33/Config!$B$3*100)</f>
        <v>73.472222222222229</v>
      </c>
      <c r="M33" s="5">
        <v>10</v>
      </c>
      <c r="N33" s="6" t="b">
        <v>0</v>
      </c>
      <c r="O33" s="6" t="b">
        <v>0</v>
      </c>
      <c r="P33" s="6" t="b">
        <v>1</v>
      </c>
      <c r="Q33" s="5"/>
      <c r="R33" s="5"/>
    </row>
    <row r="34" spans="1:18" ht="15">
      <c r="A34" s="5" t="str">
        <f t="shared" si="0"/>
        <v>완료</v>
      </c>
      <c r="B34" s="5">
        <v>33</v>
      </c>
      <c r="C34" s="5" t="s">
        <v>661</v>
      </c>
      <c r="D34" s="5" t="s">
        <v>143</v>
      </c>
      <c r="E34" s="5" t="s">
        <v>143</v>
      </c>
      <c r="F34" s="5" t="s">
        <v>144</v>
      </c>
      <c r="G34" s="5" t="s">
        <v>89</v>
      </c>
      <c r="H34" s="5" t="s">
        <v>627</v>
      </c>
      <c r="I34" s="7">
        <v>2616</v>
      </c>
      <c r="J34" s="7">
        <v>2116</v>
      </c>
      <c r="K34" s="11">
        <f>IF(I34="","",I34/Config!$B$2*100)</f>
        <v>51.093750000000007</v>
      </c>
      <c r="L34" s="11">
        <f>IF(J34="","",J34/Config!$B$3*100)</f>
        <v>73.472222222222229</v>
      </c>
      <c r="M34" s="5">
        <v>10</v>
      </c>
      <c r="N34" s="6" t="b">
        <v>0</v>
      </c>
      <c r="O34" s="6" t="b">
        <v>0</v>
      </c>
      <c r="P34" s="6" t="b">
        <v>1</v>
      </c>
      <c r="Q34" s="5"/>
      <c r="R34" s="5"/>
    </row>
    <row r="35" spans="1:18" ht="15">
      <c r="A35" s="5" t="str">
        <f t="shared" si="0"/>
        <v>완료</v>
      </c>
      <c r="B35" s="5">
        <v>34</v>
      </c>
      <c r="C35" s="5" t="s">
        <v>662</v>
      </c>
      <c r="D35" s="5" t="s">
        <v>145</v>
      </c>
      <c r="E35" s="5" t="s">
        <v>145</v>
      </c>
      <c r="F35" s="5" t="s">
        <v>146</v>
      </c>
      <c r="G35" s="5" t="s">
        <v>89</v>
      </c>
      <c r="H35" s="5" t="s">
        <v>627</v>
      </c>
      <c r="I35" s="7">
        <v>2480</v>
      </c>
      <c r="J35" s="7">
        <v>2116</v>
      </c>
      <c r="K35" s="11">
        <f>IF(I35="","",I35/Config!$B$2*100)</f>
        <v>48.4375</v>
      </c>
      <c r="L35" s="11">
        <f>IF(J35="","",J35/Config!$B$3*100)</f>
        <v>73.472222222222229</v>
      </c>
      <c r="M35" s="5">
        <v>12</v>
      </c>
      <c r="N35" s="6" t="b">
        <v>1</v>
      </c>
      <c r="O35" s="6" t="b">
        <v>0</v>
      </c>
      <c r="P35" s="6" t="b">
        <v>1</v>
      </c>
      <c r="Q35" s="5"/>
      <c r="R35" s="5"/>
    </row>
    <row r="36" spans="1:18" ht="15">
      <c r="A36" s="5" t="str">
        <f t="shared" si="0"/>
        <v>완료</v>
      </c>
      <c r="B36" s="5">
        <v>35</v>
      </c>
      <c r="C36" s="5" t="s">
        <v>663</v>
      </c>
      <c r="D36" s="5" t="s">
        <v>147</v>
      </c>
      <c r="E36" s="5" t="s">
        <v>147</v>
      </c>
      <c r="F36" s="5" t="s">
        <v>148</v>
      </c>
      <c r="G36" s="5" t="s">
        <v>89</v>
      </c>
      <c r="H36" s="5" t="s">
        <v>627</v>
      </c>
      <c r="I36" s="7">
        <v>2384</v>
      </c>
      <c r="J36" s="7">
        <v>2116</v>
      </c>
      <c r="K36" s="11">
        <f>IF(I36="","",I36/Config!$B$2*100)</f>
        <v>46.5625</v>
      </c>
      <c r="L36" s="11">
        <f>IF(J36="","",J36/Config!$B$3*100)</f>
        <v>73.472222222222229</v>
      </c>
      <c r="M36" s="5">
        <v>10</v>
      </c>
      <c r="N36" s="6" t="b">
        <v>0</v>
      </c>
      <c r="O36" s="6" t="b">
        <v>0</v>
      </c>
      <c r="P36" s="6" t="b">
        <v>1</v>
      </c>
      <c r="Q36" s="5"/>
      <c r="R36" s="5"/>
    </row>
    <row r="37" spans="1:18" ht="15">
      <c r="A37" s="5" t="str">
        <f t="shared" si="0"/>
        <v>완료</v>
      </c>
      <c r="B37" s="5">
        <v>36</v>
      </c>
      <c r="C37" s="5" t="s">
        <v>664</v>
      </c>
      <c r="D37" s="5" t="s">
        <v>149</v>
      </c>
      <c r="E37" s="5" t="s">
        <v>149</v>
      </c>
      <c r="F37" s="5" t="s">
        <v>150</v>
      </c>
      <c r="G37" s="5" t="s">
        <v>89</v>
      </c>
      <c r="H37" s="5" t="s">
        <v>627</v>
      </c>
      <c r="I37" s="7">
        <v>2296</v>
      </c>
      <c r="J37" s="7">
        <v>2116</v>
      </c>
      <c r="K37" s="11">
        <f>IF(I37="","",I37/Config!$B$2*100)</f>
        <v>44.84375</v>
      </c>
      <c r="L37" s="11">
        <f>IF(J37="","",J37/Config!$B$3*100)</f>
        <v>73.472222222222229</v>
      </c>
      <c r="M37" s="5">
        <v>10</v>
      </c>
      <c r="N37" s="6" t="b">
        <v>0</v>
      </c>
      <c r="O37" s="6" t="b">
        <v>0</v>
      </c>
      <c r="P37" s="6" t="b">
        <v>1</v>
      </c>
      <c r="Q37" s="5"/>
      <c r="R37" s="5"/>
    </row>
    <row r="38" spans="1:18" ht="15">
      <c r="A38" s="5" t="str">
        <f t="shared" si="0"/>
        <v>완료</v>
      </c>
      <c r="B38" s="5">
        <v>37</v>
      </c>
      <c r="C38" s="5" t="s">
        <v>665</v>
      </c>
      <c r="D38" s="5" t="s">
        <v>151</v>
      </c>
      <c r="E38" s="5" t="s">
        <v>151</v>
      </c>
      <c r="F38" s="5" t="s">
        <v>152</v>
      </c>
      <c r="G38" s="5" t="s">
        <v>89</v>
      </c>
      <c r="H38" s="5" t="s">
        <v>627</v>
      </c>
      <c r="I38" s="7">
        <v>2200</v>
      </c>
      <c r="J38" s="7">
        <v>2116</v>
      </c>
      <c r="K38" s="11">
        <f>IF(I38="","",I38/Config!$B$2*100)</f>
        <v>42.96875</v>
      </c>
      <c r="L38" s="11">
        <f>IF(J38="","",J38/Config!$B$3*100)</f>
        <v>73.472222222222229</v>
      </c>
      <c r="M38" s="5">
        <v>12</v>
      </c>
      <c r="N38" s="6" t="b">
        <v>1</v>
      </c>
      <c r="O38" s="6" t="b">
        <v>0</v>
      </c>
      <c r="P38" s="6" t="b">
        <v>1</v>
      </c>
      <c r="Q38" s="5"/>
      <c r="R38" s="5"/>
    </row>
    <row r="39" spans="1:18" ht="15">
      <c r="A39" s="5" t="str">
        <f t="shared" si="0"/>
        <v>완료</v>
      </c>
      <c r="B39" s="5">
        <v>38</v>
      </c>
      <c r="C39" s="5" t="s">
        <v>666</v>
      </c>
      <c r="D39" s="5" t="s">
        <v>155</v>
      </c>
      <c r="E39" s="5" t="s">
        <v>155</v>
      </c>
      <c r="F39" s="5" t="s">
        <v>156</v>
      </c>
      <c r="G39" s="5" t="s">
        <v>89</v>
      </c>
      <c r="H39" s="5" t="s">
        <v>627</v>
      </c>
      <c r="I39" s="7">
        <v>2092</v>
      </c>
      <c r="J39" s="7">
        <v>2116</v>
      </c>
      <c r="K39" s="11">
        <f>IF(I39="","",I39/Config!$B$2*100)</f>
        <v>40.859375</v>
      </c>
      <c r="L39" s="11">
        <f>IF(J39="","",J39/Config!$B$3*100)</f>
        <v>73.472222222222229</v>
      </c>
      <c r="M39" s="5">
        <v>10</v>
      </c>
      <c r="N39" s="6" t="b">
        <v>0</v>
      </c>
      <c r="O39" s="6" t="b">
        <v>0</v>
      </c>
      <c r="P39" s="6" t="b">
        <v>1</v>
      </c>
      <c r="Q39" s="5"/>
      <c r="R39" s="5"/>
    </row>
    <row r="40" spans="1:18" ht="15">
      <c r="A40" s="5" t="str">
        <f t="shared" si="0"/>
        <v>완료</v>
      </c>
      <c r="B40" s="5">
        <v>39</v>
      </c>
      <c r="C40" s="5" t="s">
        <v>667</v>
      </c>
      <c r="D40" s="5" t="s">
        <v>157</v>
      </c>
      <c r="E40" s="5" t="s">
        <v>157</v>
      </c>
      <c r="F40" s="5" t="s">
        <v>158</v>
      </c>
      <c r="G40" s="5" t="s">
        <v>89</v>
      </c>
      <c r="H40" s="5" t="s">
        <v>627</v>
      </c>
      <c r="I40" s="7">
        <v>1984</v>
      </c>
      <c r="J40" s="7">
        <v>2116</v>
      </c>
      <c r="K40" s="11">
        <f>IF(I40="","",I40/Config!$B$2*100)</f>
        <v>38.75</v>
      </c>
      <c r="L40" s="11">
        <f>IF(J40="","",J40/Config!$B$3*100)</f>
        <v>73.472222222222229</v>
      </c>
      <c r="M40" s="5">
        <v>10</v>
      </c>
      <c r="N40" s="6" t="b">
        <v>0</v>
      </c>
      <c r="O40" s="6" t="b">
        <v>0</v>
      </c>
      <c r="P40" s="6" t="b">
        <v>1</v>
      </c>
      <c r="Q40" s="5"/>
      <c r="R40" s="5"/>
    </row>
    <row r="41" spans="1:18" ht="15">
      <c r="A41" s="5" t="str">
        <f t="shared" si="0"/>
        <v>완료</v>
      </c>
      <c r="B41" s="5">
        <v>40</v>
      </c>
      <c r="C41" s="5" t="s">
        <v>668</v>
      </c>
      <c r="D41" s="5" t="s">
        <v>159</v>
      </c>
      <c r="E41" s="5" t="s">
        <v>159</v>
      </c>
      <c r="F41" s="5" t="s">
        <v>160</v>
      </c>
      <c r="G41" s="5" t="s">
        <v>89</v>
      </c>
      <c r="H41" s="5" t="s">
        <v>627</v>
      </c>
      <c r="I41" s="7">
        <v>1876</v>
      </c>
      <c r="J41" s="7">
        <v>2116</v>
      </c>
      <c r="K41" s="11">
        <f>IF(I41="","",I41/Config!$B$2*100)</f>
        <v>36.640625</v>
      </c>
      <c r="L41" s="11">
        <f>IF(J41="","",J41/Config!$B$3*100)</f>
        <v>73.472222222222229</v>
      </c>
      <c r="M41" s="5">
        <v>10</v>
      </c>
      <c r="N41" s="6" t="b">
        <v>0</v>
      </c>
      <c r="O41" s="6" t="b">
        <v>0</v>
      </c>
      <c r="P41" s="6" t="b">
        <v>1</v>
      </c>
      <c r="Q41" s="5"/>
      <c r="R41" s="5"/>
    </row>
    <row r="42" spans="1:18" ht="15">
      <c r="A42" s="5" t="str">
        <f t="shared" si="0"/>
        <v>완료</v>
      </c>
      <c r="B42" s="5">
        <v>41</v>
      </c>
      <c r="C42" s="5" t="s">
        <v>669</v>
      </c>
      <c r="D42" s="5" t="s">
        <v>161</v>
      </c>
      <c r="E42" s="5" t="s">
        <v>161</v>
      </c>
      <c r="F42" s="5" t="s">
        <v>162</v>
      </c>
      <c r="G42" s="5" t="s">
        <v>89</v>
      </c>
      <c r="H42" s="5" t="s">
        <v>627</v>
      </c>
      <c r="I42" s="7">
        <v>1768</v>
      </c>
      <c r="J42" s="7">
        <v>2116</v>
      </c>
      <c r="K42" s="11">
        <f>IF(I42="","",I42/Config!$B$2*100)</f>
        <v>34.53125</v>
      </c>
      <c r="L42" s="11">
        <f>IF(J42="","",J42/Config!$B$3*100)</f>
        <v>73.472222222222229</v>
      </c>
      <c r="M42" s="5">
        <v>10</v>
      </c>
      <c r="N42" s="6" t="b">
        <v>0</v>
      </c>
      <c r="O42" s="6" t="b">
        <v>0</v>
      </c>
      <c r="P42" s="6" t="b">
        <v>1</v>
      </c>
      <c r="Q42" s="5"/>
      <c r="R42" s="5"/>
    </row>
    <row r="43" spans="1:18" ht="15">
      <c r="A43" s="5" t="str">
        <f t="shared" si="0"/>
        <v>완료</v>
      </c>
      <c r="B43" s="5">
        <v>42</v>
      </c>
      <c r="C43" s="5" t="s">
        <v>670</v>
      </c>
      <c r="D43" s="5" t="s">
        <v>163</v>
      </c>
      <c r="E43" s="5" t="s">
        <v>163</v>
      </c>
      <c r="F43" s="5" t="s">
        <v>164</v>
      </c>
      <c r="G43" s="5" t="s">
        <v>89</v>
      </c>
      <c r="H43" s="5" t="s">
        <v>627</v>
      </c>
      <c r="I43" s="7">
        <v>1660</v>
      </c>
      <c r="J43" s="7">
        <v>2116</v>
      </c>
      <c r="K43" s="11">
        <f>IF(I43="","",I43/Config!$B$2*100)</f>
        <v>32.421875</v>
      </c>
      <c r="L43" s="11">
        <f>IF(J43="","",J43/Config!$B$3*100)</f>
        <v>73.472222222222229</v>
      </c>
      <c r="M43" s="5">
        <v>10</v>
      </c>
      <c r="N43" s="6" t="b">
        <v>0</v>
      </c>
      <c r="O43" s="6" t="b">
        <v>0</v>
      </c>
      <c r="P43" s="6" t="b">
        <v>1</v>
      </c>
      <c r="Q43" s="5"/>
      <c r="R43" s="5"/>
    </row>
    <row r="44" spans="1:18" ht="15">
      <c r="A44" s="5" t="str">
        <f t="shared" si="0"/>
        <v>완료</v>
      </c>
      <c r="B44" s="5">
        <v>43</v>
      </c>
      <c r="C44" s="5" t="s">
        <v>671</v>
      </c>
      <c r="D44" s="5" t="s">
        <v>165</v>
      </c>
      <c r="E44" s="5" t="s">
        <v>165</v>
      </c>
      <c r="F44" s="5" t="s">
        <v>166</v>
      </c>
      <c r="G44" s="5" t="s">
        <v>89</v>
      </c>
      <c r="H44" s="5" t="s">
        <v>627</v>
      </c>
      <c r="I44" s="7">
        <v>1552</v>
      </c>
      <c r="J44" s="7">
        <v>2116</v>
      </c>
      <c r="K44" s="11">
        <f>IF(I44="","",I44/Config!$B$2*100)</f>
        <v>30.312499999999996</v>
      </c>
      <c r="L44" s="11">
        <f>IF(J44="","",J44/Config!$B$3*100)</f>
        <v>73.472222222222229</v>
      </c>
      <c r="M44" s="5">
        <v>10</v>
      </c>
      <c r="N44" s="6" t="b">
        <v>0</v>
      </c>
      <c r="O44" s="6" t="b">
        <v>0</v>
      </c>
      <c r="P44" s="6" t="b">
        <v>1</v>
      </c>
      <c r="Q44" s="5"/>
      <c r="R44" s="5"/>
    </row>
    <row r="45" spans="1:18" ht="15">
      <c r="A45" s="5" t="str">
        <f t="shared" si="0"/>
        <v>완료</v>
      </c>
      <c r="B45" s="5">
        <v>44</v>
      </c>
      <c r="C45" s="5" t="s">
        <v>672</v>
      </c>
      <c r="D45" s="5" t="s">
        <v>167</v>
      </c>
      <c r="E45" s="5" t="s">
        <v>167</v>
      </c>
      <c r="F45" s="5" t="s">
        <v>168</v>
      </c>
      <c r="G45" s="5" t="s">
        <v>89</v>
      </c>
      <c r="H45" s="5" t="s">
        <v>627</v>
      </c>
      <c r="I45" s="7">
        <v>1424</v>
      </c>
      <c r="J45" s="7">
        <v>1964</v>
      </c>
      <c r="K45" s="11">
        <f>IF(I45="","",I45/Config!$B$2*100)</f>
        <v>27.8125</v>
      </c>
      <c r="L45" s="11">
        <f>IF(J45="","",J45/Config!$B$3*100)</f>
        <v>68.194444444444443</v>
      </c>
      <c r="M45" s="5">
        <v>12</v>
      </c>
      <c r="N45" s="6" t="b">
        <v>1</v>
      </c>
      <c r="O45" s="6" t="b">
        <v>0</v>
      </c>
      <c r="P45" s="6" t="b">
        <v>1</v>
      </c>
      <c r="Q45" s="5"/>
      <c r="R45" s="5"/>
    </row>
    <row r="46" spans="1:18" ht="15">
      <c r="A46" s="5" t="str">
        <f t="shared" si="0"/>
        <v>완료</v>
      </c>
      <c r="B46" s="5">
        <v>45</v>
      </c>
      <c r="C46" s="5" t="s">
        <v>673</v>
      </c>
      <c r="D46" s="5" t="s">
        <v>169</v>
      </c>
      <c r="E46" s="5" t="s">
        <v>169</v>
      </c>
      <c r="F46" s="5" t="s">
        <v>170</v>
      </c>
      <c r="G46" s="5" t="s">
        <v>89</v>
      </c>
      <c r="H46" s="5" t="s">
        <v>674</v>
      </c>
      <c r="I46" s="7">
        <v>1424</v>
      </c>
      <c r="J46" s="7">
        <v>1820</v>
      </c>
      <c r="K46" s="11">
        <f>IF(I46="","",I46/Config!$B$2*100)</f>
        <v>27.8125</v>
      </c>
      <c r="L46" s="11">
        <f>IF(J46="","",J46/Config!$B$3*100)</f>
        <v>63.194444444444443</v>
      </c>
      <c r="M46" s="5">
        <v>10</v>
      </c>
      <c r="N46" s="6" t="b">
        <v>0</v>
      </c>
      <c r="O46" s="6" t="b">
        <v>1</v>
      </c>
      <c r="P46" s="6" t="b">
        <v>1</v>
      </c>
      <c r="Q46" s="5"/>
      <c r="R46" s="5"/>
    </row>
    <row r="47" spans="1:18" ht="15">
      <c r="A47" s="5" t="str">
        <f t="shared" si="0"/>
        <v>완료</v>
      </c>
      <c r="B47" s="5">
        <v>46</v>
      </c>
      <c r="C47" s="5" t="s">
        <v>675</v>
      </c>
      <c r="D47" s="5" t="s">
        <v>172</v>
      </c>
      <c r="E47" s="5" t="s">
        <v>172</v>
      </c>
      <c r="F47" s="5" t="s">
        <v>173</v>
      </c>
      <c r="G47" s="5" t="s">
        <v>89</v>
      </c>
      <c r="H47" s="5" t="s">
        <v>627</v>
      </c>
      <c r="I47" s="7">
        <v>1424</v>
      </c>
      <c r="J47" s="7">
        <v>1740</v>
      </c>
      <c r="K47" s="11">
        <f>IF(I47="","",I47/Config!$B$2*100)</f>
        <v>27.8125</v>
      </c>
      <c r="L47" s="11">
        <f>IF(J47="","",J47/Config!$B$3*100)</f>
        <v>60.416666666666664</v>
      </c>
      <c r="M47" s="5">
        <v>10</v>
      </c>
      <c r="N47" s="6" t="b">
        <v>0</v>
      </c>
      <c r="O47" s="6" t="b">
        <v>0</v>
      </c>
      <c r="P47" s="6" t="b">
        <v>1</v>
      </c>
      <c r="Q47" s="5"/>
      <c r="R47" s="5"/>
    </row>
    <row r="48" spans="1:18" ht="15">
      <c r="A48" s="5" t="str">
        <f t="shared" si="0"/>
        <v>완료</v>
      </c>
      <c r="B48" s="5">
        <v>47</v>
      </c>
      <c r="C48" s="5" t="s">
        <v>676</v>
      </c>
      <c r="D48" s="5" t="s">
        <v>174</v>
      </c>
      <c r="E48" s="5" t="s">
        <v>174</v>
      </c>
      <c r="F48" s="5" t="s">
        <v>175</v>
      </c>
      <c r="G48" s="5" t="s">
        <v>89</v>
      </c>
      <c r="H48" s="5" t="s">
        <v>627</v>
      </c>
      <c r="I48" s="7">
        <v>1424</v>
      </c>
      <c r="J48" s="7">
        <v>1660</v>
      </c>
      <c r="K48" s="11">
        <f>IF(I48="","",I48/Config!$B$2*100)</f>
        <v>27.8125</v>
      </c>
      <c r="L48" s="11">
        <f>IF(J48="","",J48/Config!$B$3*100)</f>
        <v>57.638888888888886</v>
      </c>
      <c r="M48" s="5">
        <v>12</v>
      </c>
      <c r="N48" s="6" t="b">
        <v>1</v>
      </c>
      <c r="O48" s="6" t="b">
        <v>0</v>
      </c>
      <c r="P48" s="6" t="b">
        <v>1</v>
      </c>
      <c r="Q48" s="5"/>
      <c r="R48" s="5"/>
    </row>
    <row r="49" spans="1:18" ht="15">
      <c r="A49" s="5" t="str">
        <f t="shared" si="0"/>
        <v>완료</v>
      </c>
      <c r="B49" s="5">
        <v>48</v>
      </c>
      <c r="C49" s="5" t="s">
        <v>677</v>
      </c>
      <c r="D49" s="5" t="s">
        <v>176</v>
      </c>
      <c r="E49" s="5" t="s">
        <v>176</v>
      </c>
      <c r="F49" s="5" t="s">
        <v>177</v>
      </c>
      <c r="G49" s="5" t="s">
        <v>89</v>
      </c>
      <c r="H49" s="5" t="s">
        <v>627</v>
      </c>
      <c r="I49" s="7">
        <v>1424</v>
      </c>
      <c r="J49" s="7">
        <v>1500</v>
      </c>
      <c r="K49" s="11">
        <f>IF(I49="","",I49/Config!$B$2*100)</f>
        <v>27.8125</v>
      </c>
      <c r="L49" s="11">
        <f>IF(J49="","",J49/Config!$B$3*100)</f>
        <v>52.083333333333336</v>
      </c>
      <c r="M49" s="5">
        <v>10</v>
      </c>
      <c r="N49" s="6" t="b">
        <v>0</v>
      </c>
      <c r="O49" s="6" t="b">
        <v>0</v>
      </c>
      <c r="P49" s="6" t="b">
        <v>1</v>
      </c>
      <c r="Q49" s="5"/>
      <c r="R49" s="5"/>
    </row>
    <row r="50" spans="1:18" ht="15">
      <c r="A50" s="5" t="str">
        <f t="shared" si="0"/>
        <v>완료</v>
      </c>
      <c r="B50" s="5">
        <v>49</v>
      </c>
      <c r="C50" s="5" t="s">
        <v>678</v>
      </c>
      <c r="D50" s="5" t="s">
        <v>178</v>
      </c>
      <c r="E50" s="5" t="s">
        <v>178</v>
      </c>
      <c r="F50" s="5" t="s">
        <v>179</v>
      </c>
      <c r="G50" s="5" t="s">
        <v>89</v>
      </c>
      <c r="H50" s="5" t="s">
        <v>627</v>
      </c>
      <c r="I50" s="7">
        <v>1424</v>
      </c>
      <c r="J50" s="7">
        <v>1332</v>
      </c>
      <c r="K50" s="11">
        <f>IF(I50="","",I50/Config!$B$2*100)</f>
        <v>27.8125</v>
      </c>
      <c r="L50" s="11">
        <f>IF(J50="","",J50/Config!$B$3*100)</f>
        <v>46.25</v>
      </c>
      <c r="M50" s="5">
        <v>12</v>
      </c>
      <c r="N50" s="6" t="b">
        <v>1</v>
      </c>
      <c r="O50" s="6" t="b">
        <v>0</v>
      </c>
      <c r="P50" s="6" t="b">
        <v>1</v>
      </c>
      <c r="Q50" s="5"/>
      <c r="R50" s="5"/>
    </row>
    <row r="51" spans="1:18" ht="15">
      <c r="A51" s="5" t="str">
        <f t="shared" si="0"/>
        <v>완료</v>
      </c>
      <c r="B51" s="5">
        <v>50</v>
      </c>
      <c r="C51" s="5" t="s">
        <v>679</v>
      </c>
      <c r="D51" s="5" t="s">
        <v>180</v>
      </c>
      <c r="E51" s="5" t="s">
        <v>180</v>
      </c>
      <c r="F51" s="5" t="s">
        <v>181</v>
      </c>
      <c r="G51" s="5" t="s">
        <v>89</v>
      </c>
      <c r="H51" s="5" t="s">
        <v>627</v>
      </c>
      <c r="I51" s="7">
        <v>1494</v>
      </c>
      <c r="J51" s="7">
        <v>1244</v>
      </c>
      <c r="K51" s="11">
        <f>IF(I51="","",I51/Config!$B$2*100)</f>
        <v>29.1796875</v>
      </c>
      <c r="L51" s="11">
        <f>IF(J51="","",J51/Config!$B$3*100)</f>
        <v>43.194444444444443</v>
      </c>
      <c r="M51" s="5">
        <v>10</v>
      </c>
      <c r="N51" s="6" t="b">
        <v>0</v>
      </c>
      <c r="O51" s="6" t="b">
        <v>0</v>
      </c>
      <c r="P51" s="6" t="b">
        <v>1</v>
      </c>
      <c r="Q51" s="5"/>
      <c r="R51" s="5"/>
    </row>
    <row r="52" spans="1:18" ht="15">
      <c r="A52" s="5" t="str">
        <f t="shared" si="0"/>
        <v>완료</v>
      </c>
      <c r="B52" s="5">
        <v>51</v>
      </c>
      <c r="C52" s="5" t="s">
        <v>680</v>
      </c>
      <c r="D52" s="5" t="s">
        <v>182</v>
      </c>
      <c r="E52" s="5" t="s">
        <v>182</v>
      </c>
      <c r="F52" s="5" t="s">
        <v>183</v>
      </c>
      <c r="G52" s="5" t="s">
        <v>89</v>
      </c>
      <c r="H52" s="5" t="s">
        <v>627</v>
      </c>
      <c r="I52" s="7">
        <v>1536</v>
      </c>
      <c r="J52" s="7">
        <v>1194</v>
      </c>
      <c r="K52" s="11">
        <f>IF(I52="","",I52/Config!$B$2*100)</f>
        <v>30</v>
      </c>
      <c r="L52" s="11">
        <f>IF(J52="","",J52/Config!$B$3*100)</f>
        <v>41.458333333333336</v>
      </c>
      <c r="M52" s="5">
        <v>10</v>
      </c>
      <c r="N52" s="6" t="b">
        <v>0</v>
      </c>
      <c r="O52" s="6" t="b">
        <v>0</v>
      </c>
      <c r="P52" s="6" t="b">
        <v>1</v>
      </c>
      <c r="Q52" s="5"/>
      <c r="R52" s="5"/>
    </row>
    <row r="53" spans="1:18" ht="15">
      <c r="A53" s="5" t="str">
        <f t="shared" si="0"/>
        <v>완료</v>
      </c>
      <c r="B53" s="5">
        <v>52</v>
      </c>
      <c r="C53" s="5" t="s">
        <v>681</v>
      </c>
      <c r="D53" s="5" t="s">
        <v>184</v>
      </c>
      <c r="E53" s="5" t="s">
        <v>184</v>
      </c>
      <c r="F53" s="5" t="s">
        <v>185</v>
      </c>
      <c r="G53" s="5" t="s">
        <v>89</v>
      </c>
      <c r="H53" s="5" t="s">
        <v>627</v>
      </c>
      <c r="I53" s="7">
        <v>1576</v>
      </c>
      <c r="J53" s="7">
        <v>1144</v>
      </c>
      <c r="K53" s="11">
        <f>IF(I53="","",I53/Config!$B$2*100)</f>
        <v>30.78125</v>
      </c>
      <c r="L53" s="11">
        <f>IF(J53="","",J53/Config!$B$3*100)</f>
        <v>39.722222222222221</v>
      </c>
      <c r="M53" s="5">
        <v>10</v>
      </c>
      <c r="N53" s="6" t="b">
        <v>0</v>
      </c>
      <c r="O53" s="6" t="b">
        <v>0</v>
      </c>
      <c r="P53" s="6" t="b">
        <v>1</v>
      </c>
      <c r="Q53" s="5"/>
      <c r="R53" s="5"/>
    </row>
    <row r="54" spans="1:18" ht="15">
      <c r="A54" s="5" t="str">
        <f t="shared" si="0"/>
        <v>완료</v>
      </c>
      <c r="B54" s="5">
        <v>53</v>
      </c>
      <c r="C54" s="5" t="s">
        <v>682</v>
      </c>
      <c r="D54" s="5" t="s">
        <v>186</v>
      </c>
      <c r="E54" s="5" t="s">
        <v>186</v>
      </c>
      <c r="F54" s="5" t="s">
        <v>187</v>
      </c>
      <c r="G54" s="5" t="s">
        <v>89</v>
      </c>
      <c r="H54" s="5" t="s">
        <v>627</v>
      </c>
      <c r="I54" s="7">
        <v>1664</v>
      </c>
      <c r="J54" s="7">
        <v>1144</v>
      </c>
      <c r="K54" s="11">
        <f>IF(I54="","",I54/Config!$B$2*100)</f>
        <v>32.5</v>
      </c>
      <c r="L54" s="11">
        <f>IF(J54="","",J54/Config!$B$3*100)</f>
        <v>39.722222222222221</v>
      </c>
      <c r="M54" s="5">
        <v>10</v>
      </c>
      <c r="N54" s="6" t="b">
        <v>0</v>
      </c>
      <c r="O54" s="6" t="b">
        <v>0</v>
      </c>
      <c r="P54" s="6" t="b">
        <v>1</v>
      </c>
      <c r="Q54" s="5"/>
      <c r="R54" s="5"/>
    </row>
    <row r="55" spans="1:18" ht="15">
      <c r="A55" s="5" t="str">
        <f t="shared" si="0"/>
        <v>완료</v>
      </c>
      <c r="B55" s="5">
        <v>54</v>
      </c>
      <c r="C55" s="5" t="s">
        <v>683</v>
      </c>
      <c r="D55" s="5" t="s">
        <v>188</v>
      </c>
      <c r="E55" s="5" t="s">
        <v>188</v>
      </c>
      <c r="F55" s="5" t="s">
        <v>189</v>
      </c>
      <c r="G55" s="5" t="s">
        <v>89</v>
      </c>
      <c r="H55" s="5" t="s">
        <v>627</v>
      </c>
      <c r="I55" s="7">
        <v>1752</v>
      </c>
      <c r="J55" s="7">
        <v>1144</v>
      </c>
      <c r="K55" s="11">
        <f>IF(I55="","",I55/Config!$B$2*100)</f>
        <v>34.21875</v>
      </c>
      <c r="L55" s="11">
        <f>IF(J55="","",J55/Config!$B$3*100)</f>
        <v>39.722222222222221</v>
      </c>
      <c r="M55" s="5">
        <v>12</v>
      </c>
      <c r="N55" s="6" t="b">
        <v>1</v>
      </c>
      <c r="O55" s="6" t="b">
        <v>1</v>
      </c>
      <c r="P55" s="6" t="b">
        <v>1</v>
      </c>
      <c r="Q55" s="5"/>
      <c r="R55" s="5"/>
    </row>
    <row r="56" spans="1:18" ht="15">
      <c r="A56" s="5" t="str">
        <f t="shared" si="0"/>
        <v>완료</v>
      </c>
      <c r="B56" s="5">
        <v>55</v>
      </c>
      <c r="C56" s="5" t="s">
        <v>684</v>
      </c>
      <c r="D56" s="5" t="s">
        <v>190</v>
      </c>
      <c r="E56" s="5" t="s">
        <v>190</v>
      </c>
      <c r="F56" s="5" t="s">
        <v>191</v>
      </c>
      <c r="G56" s="5" t="s">
        <v>89</v>
      </c>
      <c r="H56" s="5" t="s">
        <v>639</v>
      </c>
      <c r="I56" s="7">
        <v>2972</v>
      </c>
      <c r="J56" s="7">
        <v>1204</v>
      </c>
      <c r="K56" s="11">
        <f>IF(I56="","",I56/Config!$B$2*100)</f>
        <v>58.046875</v>
      </c>
      <c r="L56" s="11">
        <f>IF(J56="","",J56/Config!$B$3*100)</f>
        <v>41.805555555555557</v>
      </c>
      <c r="M56" s="5">
        <v>10</v>
      </c>
      <c r="N56" s="6" t="b">
        <v>0</v>
      </c>
      <c r="O56" s="6" t="b">
        <v>0</v>
      </c>
      <c r="P56" s="6" t="b">
        <v>1</v>
      </c>
      <c r="Q56" s="5"/>
      <c r="R56" s="5"/>
    </row>
    <row r="57" spans="1:18" ht="15">
      <c r="A57" s="5" t="str">
        <f t="shared" si="0"/>
        <v>완료</v>
      </c>
      <c r="B57" s="5">
        <v>56</v>
      </c>
      <c r="C57" s="5" t="s">
        <v>685</v>
      </c>
      <c r="D57" s="5" t="s">
        <v>193</v>
      </c>
      <c r="E57" s="5" t="s">
        <v>193</v>
      </c>
      <c r="F57" s="5" t="s">
        <v>194</v>
      </c>
      <c r="G57" s="5" t="s">
        <v>89</v>
      </c>
      <c r="H57" s="5" t="s">
        <v>639</v>
      </c>
      <c r="I57" s="7">
        <v>2972</v>
      </c>
      <c r="J57" s="7">
        <v>1064</v>
      </c>
      <c r="K57" s="11">
        <f>IF(I57="","",I57/Config!$B$2*100)</f>
        <v>58.046875</v>
      </c>
      <c r="L57" s="11">
        <f>IF(J57="","",J57/Config!$B$3*100)</f>
        <v>36.944444444444443</v>
      </c>
      <c r="M57" s="5">
        <v>10</v>
      </c>
      <c r="N57" s="6" t="b">
        <v>0</v>
      </c>
      <c r="O57" s="6" t="b">
        <v>0</v>
      </c>
      <c r="P57" s="6" t="b">
        <v>1</v>
      </c>
      <c r="Q57" s="5"/>
      <c r="R57" s="5"/>
    </row>
    <row r="58" spans="1:18" ht="15">
      <c r="A58" s="5" t="str">
        <f t="shared" si="0"/>
        <v>완료</v>
      </c>
      <c r="B58" s="5">
        <v>57</v>
      </c>
      <c r="C58" s="5" t="s">
        <v>686</v>
      </c>
      <c r="D58" s="5" t="s">
        <v>195</v>
      </c>
      <c r="E58" s="5" t="s">
        <v>195</v>
      </c>
      <c r="F58" s="5" t="s">
        <v>196</v>
      </c>
      <c r="G58" s="5" t="s">
        <v>89</v>
      </c>
      <c r="H58" s="5" t="s">
        <v>639</v>
      </c>
      <c r="I58" s="7">
        <v>2784</v>
      </c>
      <c r="J58" s="7">
        <v>1064</v>
      </c>
      <c r="K58" s="11">
        <f>IF(I58="","",I58/Config!$B$2*100)</f>
        <v>54.374999999999993</v>
      </c>
      <c r="L58" s="11">
        <f>IF(J58="","",J58/Config!$B$3*100)</f>
        <v>36.944444444444443</v>
      </c>
      <c r="M58" s="5">
        <v>10</v>
      </c>
      <c r="N58" s="6" t="b">
        <v>0</v>
      </c>
      <c r="O58" s="6" t="b">
        <v>0</v>
      </c>
      <c r="P58" s="6" t="b">
        <v>1</v>
      </c>
      <c r="Q58" s="5"/>
      <c r="R58" s="5"/>
    </row>
    <row r="59" spans="1:18" ht="15">
      <c r="A59" s="5" t="str">
        <f t="shared" si="0"/>
        <v>완료</v>
      </c>
      <c r="B59" s="5">
        <v>58</v>
      </c>
      <c r="C59" s="5" t="s">
        <v>687</v>
      </c>
      <c r="D59" s="5" t="s">
        <v>197</v>
      </c>
      <c r="E59" s="5" t="s">
        <v>197</v>
      </c>
      <c r="F59" s="5" t="s">
        <v>198</v>
      </c>
      <c r="G59" s="5" t="s">
        <v>89</v>
      </c>
      <c r="H59" s="5" t="s">
        <v>688</v>
      </c>
      <c r="I59" s="7">
        <v>1320</v>
      </c>
      <c r="J59" s="7">
        <v>1720</v>
      </c>
      <c r="K59" s="11">
        <f>IF(I59="","",I59/Config!$B$2*100)</f>
        <v>25.78125</v>
      </c>
      <c r="L59" s="11">
        <f>IF(J59="","",J59/Config!$B$3*100)</f>
        <v>59.722222222222221</v>
      </c>
      <c r="M59" s="5">
        <v>10</v>
      </c>
      <c r="N59" s="6" t="b">
        <v>0</v>
      </c>
      <c r="O59" s="6" t="b">
        <v>0</v>
      </c>
      <c r="P59" s="6" t="b">
        <v>1</v>
      </c>
      <c r="Q59" s="5"/>
      <c r="R59" s="5"/>
    </row>
    <row r="60" spans="1:18" ht="15">
      <c r="A60" s="5" t="str">
        <f t="shared" si="0"/>
        <v>완료</v>
      </c>
      <c r="B60" s="5">
        <v>59</v>
      </c>
      <c r="C60" s="5" t="s">
        <v>689</v>
      </c>
      <c r="D60" s="5" t="s">
        <v>200</v>
      </c>
      <c r="E60" s="5" t="s">
        <v>200</v>
      </c>
      <c r="F60" s="5" t="s">
        <v>201</v>
      </c>
      <c r="G60" s="5" t="s">
        <v>89</v>
      </c>
      <c r="H60" s="5" t="s">
        <v>688</v>
      </c>
      <c r="I60" s="7">
        <v>1220</v>
      </c>
      <c r="J60" s="7">
        <v>1620</v>
      </c>
      <c r="K60" s="11">
        <f>IF(I60="","",I60/Config!$B$2*100)</f>
        <v>23.828125</v>
      </c>
      <c r="L60" s="11">
        <f>IF(J60="","",J60/Config!$B$3*100)</f>
        <v>56.25</v>
      </c>
      <c r="M60" s="5">
        <v>10</v>
      </c>
      <c r="N60" s="6" t="b">
        <v>0</v>
      </c>
      <c r="O60" s="6" t="b">
        <v>0</v>
      </c>
      <c r="P60" s="6" t="b">
        <v>1</v>
      </c>
      <c r="Q60" s="5"/>
      <c r="R60" s="5"/>
    </row>
    <row r="61" spans="1:18" ht="15">
      <c r="A61" s="5" t="str">
        <f>IF(OR(I61="",J61=""),"미작업","완료")</f>
        <v>완료</v>
      </c>
      <c r="B61" s="5">
        <v>60</v>
      </c>
      <c r="C61" s="5" t="s">
        <v>690</v>
      </c>
      <c r="D61" s="5" t="s">
        <v>202</v>
      </c>
      <c r="E61" s="5" t="s">
        <v>202</v>
      </c>
      <c r="F61" s="5" t="s">
        <v>203</v>
      </c>
      <c r="G61" s="5" t="s">
        <v>89</v>
      </c>
      <c r="H61" s="5" t="s">
        <v>688</v>
      </c>
      <c r="I61" s="7">
        <v>1108</v>
      </c>
      <c r="J61" s="7">
        <v>1508</v>
      </c>
      <c r="K61" s="11">
        <f>IF(I61="","",I61/Config!$B$2*100)</f>
        <v>21.640625</v>
      </c>
      <c r="L61" s="11">
        <f>IF(J61="","",J61/Config!$B$3*100)</f>
        <v>52.361111111111114</v>
      </c>
      <c r="M61" s="5">
        <v>10</v>
      </c>
      <c r="N61" s="6" t="b">
        <v>0</v>
      </c>
      <c r="O61" s="6" t="b">
        <v>0</v>
      </c>
      <c r="P61" s="6" t="b">
        <v>1</v>
      </c>
      <c r="Q61" s="5"/>
      <c r="R61" s="5"/>
    </row>
    <row r="62" spans="1:18" ht="15">
      <c r="A62" s="5" t="str">
        <f>IF(OR(I62="",J62=""),"미작업","완료")</f>
        <v>완료</v>
      </c>
      <c r="B62" s="5">
        <v>61</v>
      </c>
      <c r="C62" s="5" t="s">
        <v>691</v>
      </c>
      <c r="D62" s="5" t="s">
        <v>204</v>
      </c>
      <c r="E62" s="5" t="s">
        <v>204</v>
      </c>
      <c r="F62" s="5" t="s">
        <v>205</v>
      </c>
      <c r="G62" s="5" t="s">
        <v>89</v>
      </c>
      <c r="H62" s="5" t="s">
        <v>688</v>
      </c>
      <c r="I62" s="7">
        <v>1108</v>
      </c>
      <c r="J62" s="7">
        <v>1348</v>
      </c>
      <c r="K62" s="11">
        <f>IF(I62="","",I62/Config!$B$2*100)</f>
        <v>21.640625</v>
      </c>
      <c r="L62" s="11">
        <f>IF(J62="","",J62/Config!$B$3*100)</f>
        <v>46.805555555555557</v>
      </c>
      <c r="M62" s="5">
        <v>12</v>
      </c>
      <c r="N62" s="6" t="b">
        <v>1</v>
      </c>
      <c r="O62" s="6" t="b">
        <v>1</v>
      </c>
      <c r="P62" s="6" t="b">
        <v>1</v>
      </c>
      <c r="Q62" s="5"/>
      <c r="R62" s="5"/>
    </row>
    <row r="63" spans="1:18" ht="15">
      <c r="A63" s="5" t="str">
        <f>IF(OR(I63="",J63=""),"미작업","완료")</f>
        <v>완료</v>
      </c>
      <c r="B63" s="5">
        <v>62</v>
      </c>
      <c r="C63" s="5" t="s">
        <v>692</v>
      </c>
      <c r="D63" s="5" t="s">
        <v>67</v>
      </c>
      <c r="E63" s="5" t="s">
        <v>67</v>
      </c>
      <c r="F63" s="5" t="s">
        <v>68</v>
      </c>
      <c r="G63" s="5" t="s">
        <v>209</v>
      </c>
      <c r="H63" s="5" t="s">
        <v>627</v>
      </c>
      <c r="I63" s="7">
        <v>2084</v>
      </c>
      <c r="J63" s="7">
        <v>980</v>
      </c>
      <c r="K63" s="11">
        <f>IF(I63="","",I63/Config!$B$2*100)</f>
        <v>40.703125</v>
      </c>
      <c r="L63" s="11">
        <f>IF(J63="","",J63/Config!$B$3*100)</f>
        <v>34.027777777777779</v>
      </c>
      <c r="M63" s="5">
        <v>12</v>
      </c>
      <c r="N63" s="6" t="b">
        <v>1</v>
      </c>
      <c r="O63" s="6" t="b">
        <v>0</v>
      </c>
      <c r="P63" s="6" t="b">
        <v>0</v>
      </c>
      <c r="Q63" s="5"/>
      <c r="R63" s="5"/>
    </row>
    <row r="64" spans="1:18" ht="15">
      <c r="A64" s="5" t="str">
        <f>IF(OR(I64="",J64=""),"미작업","완료")</f>
        <v>완료</v>
      </c>
      <c r="B64" s="5">
        <v>63</v>
      </c>
      <c r="C64" s="5" t="s">
        <v>693</v>
      </c>
      <c r="D64" s="5" t="s">
        <v>91</v>
      </c>
      <c r="E64" s="5" t="s">
        <v>91</v>
      </c>
      <c r="F64" s="5" t="s">
        <v>92</v>
      </c>
      <c r="G64" s="5" t="s">
        <v>209</v>
      </c>
      <c r="H64" s="5" t="s">
        <v>627</v>
      </c>
      <c r="I64" s="7">
        <v>2084</v>
      </c>
      <c r="J64" s="7">
        <v>1144</v>
      </c>
      <c r="K64" s="11">
        <f>IF(I64="","",I64/Config!$B$2*100)</f>
        <v>40.703125</v>
      </c>
      <c r="L64" s="11">
        <f>IF(J64="","",J64/Config!$B$3*100)</f>
        <v>39.722222222222221</v>
      </c>
      <c r="M64" s="5">
        <v>12</v>
      </c>
      <c r="N64" s="6" t="b">
        <v>1</v>
      </c>
      <c r="O64" s="6" t="b">
        <v>0</v>
      </c>
      <c r="P64" s="6" t="b">
        <v>0</v>
      </c>
      <c r="Q64" s="5"/>
      <c r="R64" s="5"/>
    </row>
    <row r="65" spans="1:18" ht="15">
      <c r="A65" s="5" t="str">
        <f t="shared" si="0"/>
        <v>완료</v>
      </c>
      <c r="B65" s="5">
        <v>64</v>
      </c>
      <c r="C65" s="5" t="s">
        <v>694</v>
      </c>
      <c r="D65" s="5" t="s">
        <v>145</v>
      </c>
      <c r="E65" s="5" t="s">
        <v>145</v>
      </c>
      <c r="F65" s="5" t="s">
        <v>146</v>
      </c>
      <c r="G65" s="5" t="s">
        <v>209</v>
      </c>
      <c r="H65" s="5" t="s">
        <v>627</v>
      </c>
      <c r="I65" s="7">
        <v>2480</v>
      </c>
      <c r="J65" s="7">
        <v>2116</v>
      </c>
      <c r="K65" s="11">
        <f>IF(I65="","",I65/Config!$B$2*100)</f>
        <v>48.4375</v>
      </c>
      <c r="L65" s="11">
        <f>IF(J65="","",J65/Config!$B$3*100)</f>
        <v>73.472222222222229</v>
      </c>
      <c r="M65" s="5">
        <v>12</v>
      </c>
      <c r="N65" s="6" t="b">
        <v>1</v>
      </c>
      <c r="O65" s="6" t="b">
        <v>0</v>
      </c>
      <c r="P65" s="6" t="b">
        <v>0</v>
      </c>
      <c r="Q65" s="5"/>
      <c r="R65" s="5"/>
    </row>
    <row r="66" spans="1:18" ht="15">
      <c r="A66" s="5" t="str">
        <f t="shared" ref="A66:A129" si="1">IF(OR(I66="",J66=""),"미작업","완료")</f>
        <v>완료</v>
      </c>
      <c r="B66" s="5">
        <v>65</v>
      </c>
      <c r="C66" s="5" t="s">
        <v>695</v>
      </c>
      <c r="D66" s="5" t="s">
        <v>207</v>
      </c>
      <c r="E66" s="5" t="s">
        <v>207</v>
      </c>
      <c r="F66" s="5" t="s">
        <v>208</v>
      </c>
      <c r="G66" s="5" t="s">
        <v>209</v>
      </c>
      <c r="H66" s="5" t="s">
        <v>627</v>
      </c>
      <c r="I66" s="7">
        <v>984</v>
      </c>
      <c r="J66" s="7">
        <v>488</v>
      </c>
      <c r="K66" s="11">
        <f>IF(I66="","",I66/Config!$B$2*100)</f>
        <v>19.21875</v>
      </c>
      <c r="L66" s="11">
        <f>IF(J66="","",J66/Config!$B$3*100)</f>
        <v>16.944444444444446</v>
      </c>
      <c r="M66" s="5">
        <v>10</v>
      </c>
      <c r="N66" s="6" t="b">
        <v>0</v>
      </c>
      <c r="O66" s="6" t="b">
        <v>1</v>
      </c>
      <c r="P66" s="6" t="b">
        <v>1</v>
      </c>
      <c r="Q66" s="5"/>
      <c r="R66" s="5"/>
    </row>
    <row r="67" spans="1:18" ht="15">
      <c r="A67" s="5" t="str">
        <f t="shared" si="1"/>
        <v>완료</v>
      </c>
      <c r="B67" s="5">
        <v>66</v>
      </c>
      <c r="C67" s="5" t="s">
        <v>696</v>
      </c>
      <c r="D67" s="5" t="s">
        <v>211</v>
      </c>
      <c r="E67" s="5" t="s">
        <v>211</v>
      </c>
      <c r="F67" s="5" t="s">
        <v>212</v>
      </c>
      <c r="G67" s="5" t="s">
        <v>209</v>
      </c>
      <c r="H67" s="5" t="s">
        <v>627</v>
      </c>
      <c r="I67" s="7">
        <v>1140</v>
      </c>
      <c r="J67" s="7">
        <v>488</v>
      </c>
      <c r="K67" s="11">
        <f>IF(I67="","",I67/Config!$B$2*100)</f>
        <v>22.265625</v>
      </c>
      <c r="L67" s="11">
        <f>IF(J67="","",J67/Config!$B$3*100)</f>
        <v>16.944444444444446</v>
      </c>
      <c r="M67" s="5">
        <v>10</v>
      </c>
      <c r="N67" s="6" t="b">
        <v>0</v>
      </c>
      <c r="O67" s="6" t="b">
        <v>0</v>
      </c>
      <c r="P67" s="6" t="b">
        <v>1</v>
      </c>
      <c r="Q67" s="5"/>
      <c r="R67" s="5"/>
    </row>
    <row r="68" spans="1:18" ht="15">
      <c r="A68" s="5" t="str">
        <f t="shared" si="1"/>
        <v>완료</v>
      </c>
      <c r="B68" s="5">
        <v>67</v>
      </c>
      <c r="C68" s="5" t="s">
        <v>697</v>
      </c>
      <c r="D68" s="5" t="s">
        <v>213</v>
      </c>
      <c r="E68" s="5" t="s">
        <v>213</v>
      </c>
      <c r="F68" s="5" t="s">
        <v>214</v>
      </c>
      <c r="G68" s="5" t="s">
        <v>209</v>
      </c>
      <c r="H68" s="5" t="s">
        <v>627</v>
      </c>
      <c r="I68" s="7">
        <v>1296</v>
      </c>
      <c r="J68" s="7">
        <v>488</v>
      </c>
      <c r="K68" s="11">
        <f>IF(I68="","",I68/Config!$B$2*100)</f>
        <v>25.3125</v>
      </c>
      <c r="L68" s="11">
        <f>IF(J68="","",J68/Config!$B$3*100)</f>
        <v>16.944444444444446</v>
      </c>
      <c r="M68" s="5">
        <v>12</v>
      </c>
      <c r="N68" s="6" t="b">
        <v>1</v>
      </c>
      <c r="O68" s="6" t="b">
        <v>0</v>
      </c>
      <c r="P68" s="6" t="b">
        <v>1</v>
      </c>
      <c r="Q68" s="5"/>
      <c r="R68" s="5"/>
    </row>
    <row r="69" spans="1:18" ht="15">
      <c r="A69" s="5" t="str">
        <f t="shared" si="1"/>
        <v>완료</v>
      </c>
      <c r="B69" s="5">
        <v>68</v>
      </c>
      <c r="C69" s="5" t="s">
        <v>698</v>
      </c>
      <c r="D69" s="5" t="s">
        <v>217</v>
      </c>
      <c r="E69" s="5" t="s">
        <v>217</v>
      </c>
      <c r="F69" s="5" t="s">
        <v>218</v>
      </c>
      <c r="G69" s="5" t="s">
        <v>209</v>
      </c>
      <c r="H69" s="5" t="s">
        <v>627</v>
      </c>
      <c r="I69" s="7">
        <v>1460</v>
      </c>
      <c r="J69" s="7">
        <v>488</v>
      </c>
      <c r="K69" s="11">
        <f>IF(I69="","",I69/Config!$B$2*100)</f>
        <v>28.515625</v>
      </c>
      <c r="L69" s="11">
        <f>IF(J69="","",J69/Config!$B$3*100)</f>
        <v>16.944444444444446</v>
      </c>
      <c r="M69" s="5">
        <v>12</v>
      </c>
      <c r="N69" s="6" t="b">
        <v>1</v>
      </c>
      <c r="O69" s="6" t="b">
        <v>0</v>
      </c>
      <c r="P69" s="6" t="b">
        <v>1</v>
      </c>
      <c r="Q69" s="5"/>
      <c r="R69" s="5"/>
    </row>
    <row r="70" spans="1:18" ht="15">
      <c r="A70" s="5" t="str">
        <f t="shared" si="1"/>
        <v>완료</v>
      </c>
      <c r="B70" s="5">
        <v>69</v>
      </c>
      <c r="C70" s="5" t="s">
        <v>699</v>
      </c>
      <c r="D70" s="5" t="s">
        <v>219</v>
      </c>
      <c r="E70" s="5" t="s">
        <v>219</v>
      </c>
      <c r="F70" s="5" t="s">
        <v>220</v>
      </c>
      <c r="G70" s="5" t="s">
        <v>209</v>
      </c>
      <c r="H70" s="5" t="s">
        <v>627</v>
      </c>
      <c r="I70" s="7">
        <v>1616</v>
      </c>
      <c r="J70" s="7">
        <v>488</v>
      </c>
      <c r="K70" s="11">
        <f>IF(I70="","",I70/Config!$B$2*100)</f>
        <v>31.5625</v>
      </c>
      <c r="L70" s="11">
        <f>IF(J70="","",J70/Config!$B$3*100)</f>
        <v>16.944444444444446</v>
      </c>
      <c r="M70" s="5">
        <v>10</v>
      </c>
      <c r="N70" s="6" t="b">
        <v>0</v>
      </c>
      <c r="O70" s="6" t="b">
        <v>0</v>
      </c>
      <c r="P70" s="6" t="b">
        <v>1</v>
      </c>
      <c r="Q70" s="5"/>
      <c r="R70" s="5"/>
    </row>
    <row r="71" spans="1:18" ht="15">
      <c r="A71" s="5" t="str">
        <f t="shared" si="1"/>
        <v>완료</v>
      </c>
      <c r="B71" s="5">
        <v>70</v>
      </c>
      <c r="C71" s="5" t="s">
        <v>700</v>
      </c>
      <c r="D71" s="5" t="s">
        <v>221</v>
      </c>
      <c r="E71" s="5" t="s">
        <v>221</v>
      </c>
      <c r="F71" s="5" t="s">
        <v>222</v>
      </c>
      <c r="G71" s="5" t="s">
        <v>209</v>
      </c>
      <c r="H71" s="5" t="s">
        <v>627</v>
      </c>
      <c r="I71" s="7">
        <v>1772</v>
      </c>
      <c r="J71" s="7">
        <v>488</v>
      </c>
      <c r="K71" s="11">
        <f>IF(I71="","",I71/Config!$B$2*100)</f>
        <v>34.609375</v>
      </c>
      <c r="L71" s="11">
        <f>IF(J71="","",J71/Config!$B$3*100)</f>
        <v>16.944444444444446</v>
      </c>
      <c r="M71" s="5">
        <v>10</v>
      </c>
      <c r="N71" s="6" t="b">
        <v>0</v>
      </c>
      <c r="O71" s="6" t="b">
        <v>0</v>
      </c>
      <c r="P71" s="6" t="b">
        <v>1</v>
      </c>
      <c r="Q71" s="5"/>
      <c r="R71" s="5"/>
    </row>
    <row r="72" spans="1:18" ht="15">
      <c r="A72" s="5" t="str">
        <f t="shared" si="1"/>
        <v>완료</v>
      </c>
      <c r="B72" s="5">
        <v>71</v>
      </c>
      <c r="C72" s="5" t="s">
        <v>701</v>
      </c>
      <c r="D72" s="5" t="s">
        <v>223</v>
      </c>
      <c r="E72" s="5" t="s">
        <v>223</v>
      </c>
      <c r="F72" s="5" t="s">
        <v>224</v>
      </c>
      <c r="G72" s="5" t="s">
        <v>209</v>
      </c>
      <c r="H72" s="5" t="s">
        <v>627</v>
      </c>
      <c r="I72" s="7">
        <v>1928</v>
      </c>
      <c r="J72" s="7">
        <v>488</v>
      </c>
      <c r="K72" s="11">
        <f>IF(I72="","",I72/Config!$B$2*100)</f>
        <v>37.65625</v>
      </c>
      <c r="L72" s="11">
        <f>IF(J72="","",J72/Config!$B$3*100)</f>
        <v>16.944444444444446</v>
      </c>
      <c r="M72" s="5">
        <v>10</v>
      </c>
      <c r="N72" s="6" t="b">
        <v>0</v>
      </c>
      <c r="O72" s="6" t="b">
        <v>0</v>
      </c>
      <c r="P72" s="6" t="b">
        <v>1</v>
      </c>
      <c r="Q72" s="5"/>
      <c r="R72" s="5"/>
    </row>
    <row r="73" spans="1:18" ht="15">
      <c r="A73" s="5" t="str">
        <f t="shared" si="1"/>
        <v>완료</v>
      </c>
      <c r="B73" s="5">
        <v>72</v>
      </c>
      <c r="C73" s="5" t="s">
        <v>702</v>
      </c>
      <c r="D73" s="5" t="s">
        <v>225</v>
      </c>
      <c r="E73" s="5" t="s">
        <v>225</v>
      </c>
      <c r="F73" s="5" t="s">
        <v>226</v>
      </c>
      <c r="G73" s="5" t="s">
        <v>209</v>
      </c>
      <c r="H73" s="5" t="s">
        <v>627</v>
      </c>
      <c r="I73" s="7">
        <v>2084</v>
      </c>
      <c r="J73" s="7">
        <v>488</v>
      </c>
      <c r="K73" s="11">
        <f>IF(I73="","",I73/Config!$B$2*100)</f>
        <v>40.703125</v>
      </c>
      <c r="L73" s="11">
        <f>IF(J73="","",J73/Config!$B$3*100)</f>
        <v>16.944444444444446</v>
      </c>
      <c r="M73" s="5">
        <v>10</v>
      </c>
      <c r="N73" s="6" t="b">
        <v>0</v>
      </c>
      <c r="O73" s="6" t="b">
        <v>0</v>
      </c>
      <c r="P73" s="6" t="b">
        <v>1</v>
      </c>
      <c r="Q73" s="5"/>
      <c r="R73" s="5"/>
    </row>
    <row r="74" spans="1:18" ht="15">
      <c r="A74" s="5" t="str">
        <f t="shared" si="1"/>
        <v>완료</v>
      </c>
      <c r="B74" s="5">
        <v>73</v>
      </c>
      <c r="C74" s="5" t="s">
        <v>703</v>
      </c>
      <c r="D74" s="5" t="s">
        <v>227</v>
      </c>
      <c r="E74" s="5" t="s">
        <v>227</v>
      </c>
      <c r="F74" s="5" t="s">
        <v>228</v>
      </c>
      <c r="G74" s="5" t="s">
        <v>209</v>
      </c>
      <c r="H74" s="5" t="s">
        <v>627</v>
      </c>
      <c r="I74" s="7">
        <v>2084</v>
      </c>
      <c r="J74" s="7">
        <v>648</v>
      </c>
      <c r="K74" s="11">
        <f>IF(I74="","",I74/Config!$B$2*100)</f>
        <v>40.703125</v>
      </c>
      <c r="L74" s="11">
        <f>IF(J74="","",J74/Config!$B$3*100)</f>
        <v>22.5</v>
      </c>
      <c r="M74" s="5">
        <v>10</v>
      </c>
      <c r="N74" s="6" t="b">
        <v>0</v>
      </c>
      <c r="O74" s="6" t="b">
        <v>0</v>
      </c>
      <c r="P74" s="6" t="b">
        <v>1</v>
      </c>
      <c r="Q74" s="5" t="s">
        <v>229</v>
      </c>
      <c r="R74" s="5"/>
    </row>
    <row r="75" spans="1:18" ht="15">
      <c r="A75" s="5" t="str">
        <f t="shared" si="1"/>
        <v>완료</v>
      </c>
      <c r="B75" s="5">
        <v>74</v>
      </c>
      <c r="C75" s="5" t="s">
        <v>704</v>
      </c>
      <c r="D75" s="5" t="s">
        <v>230</v>
      </c>
      <c r="E75" s="5" t="s">
        <v>230</v>
      </c>
      <c r="F75" s="5" t="s">
        <v>231</v>
      </c>
      <c r="G75" s="5" t="s">
        <v>209</v>
      </c>
      <c r="H75" s="5" t="s">
        <v>627</v>
      </c>
      <c r="I75" s="7">
        <v>2084</v>
      </c>
      <c r="J75" s="7">
        <v>808</v>
      </c>
      <c r="K75" s="11">
        <f>IF(I75="","",I75/Config!$B$2*100)</f>
        <v>40.703125</v>
      </c>
      <c r="L75" s="11">
        <f>IF(J75="","",J75/Config!$B$3*100)</f>
        <v>28.055555555555557</v>
      </c>
      <c r="M75" s="5">
        <v>10</v>
      </c>
      <c r="N75" s="6" t="b">
        <v>0</v>
      </c>
      <c r="O75" s="6" t="b">
        <v>0</v>
      </c>
      <c r="P75" s="6" t="b">
        <v>1</v>
      </c>
      <c r="Q75" s="5"/>
      <c r="R75" s="5"/>
    </row>
    <row r="76" spans="1:18" ht="15">
      <c r="A76" s="5" t="str">
        <f t="shared" si="1"/>
        <v>완료</v>
      </c>
      <c r="B76" s="5">
        <v>75</v>
      </c>
      <c r="C76" s="5" t="s">
        <v>705</v>
      </c>
      <c r="D76" s="5" t="s">
        <v>232</v>
      </c>
      <c r="E76" s="5" t="s">
        <v>232</v>
      </c>
      <c r="F76" s="5" t="s">
        <v>233</v>
      </c>
      <c r="G76" s="5" t="s">
        <v>209</v>
      </c>
      <c r="H76" s="5" t="s">
        <v>627</v>
      </c>
      <c r="I76" s="7">
        <v>2328</v>
      </c>
      <c r="J76" s="7">
        <v>1244</v>
      </c>
      <c r="K76" s="11">
        <f>IF(I76="","",I76/Config!$B$2*100)</f>
        <v>45.46875</v>
      </c>
      <c r="L76" s="11">
        <f>IF(J76="","",J76/Config!$B$3*100)</f>
        <v>43.194444444444443</v>
      </c>
      <c r="M76" s="5">
        <v>12</v>
      </c>
      <c r="N76" s="6" t="b">
        <v>1</v>
      </c>
      <c r="O76" s="6" t="b">
        <v>0</v>
      </c>
      <c r="P76" s="6" t="b">
        <v>1</v>
      </c>
      <c r="Q76" s="5"/>
      <c r="R76" s="5"/>
    </row>
    <row r="77" spans="1:18" ht="15">
      <c r="A77" s="5" t="str">
        <f t="shared" si="1"/>
        <v>완료</v>
      </c>
      <c r="B77" s="5">
        <v>76</v>
      </c>
      <c r="C77" s="5" t="s">
        <v>706</v>
      </c>
      <c r="D77" s="5" t="s">
        <v>236</v>
      </c>
      <c r="E77" s="5" t="s">
        <v>236</v>
      </c>
      <c r="F77" s="5" t="s">
        <v>237</v>
      </c>
      <c r="G77" s="5" t="s">
        <v>209</v>
      </c>
      <c r="H77" s="5" t="s">
        <v>627</v>
      </c>
      <c r="I77" s="7">
        <v>2404</v>
      </c>
      <c r="J77" s="7">
        <v>1356</v>
      </c>
      <c r="K77" s="11">
        <f>IF(I77="","",I77/Config!$B$2*100)</f>
        <v>46.953125</v>
      </c>
      <c r="L77" s="11">
        <f>IF(J77="","",J77/Config!$B$3*100)</f>
        <v>47.083333333333336</v>
      </c>
      <c r="M77" s="5">
        <v>10</v>
      </c>
      <c r="N77" s="6" t="b">
        <v>0</v>
      </c>
      <c r="O77" s="6" t="b">
        <v>0</v>
      </c>
      <c r="P77" s="6" t="b">
        <v>1</v>
      </c>
      <c r="Q77" s="5"/>
      <c r="R77" s="5"/>
    </row>
    <row r="78" spans="1:18" ht="15">
      <c r="A78" s="5" t="str">
        <f t="shared" si="1"/>
        <v>완료</v>
      </c>
      <c r="B78" s="5">
        <v>77</v>
      </c>
      <c r="C78" s="5" t="s">
        <v>707</v>
      </c>
      <c r="D78" s="5" t="s">
        <v>238</v>
      </c>
      <c r="E78" s="5" t="s">
        <v>238</v>
      </c>
      <c r="F78" s="5" t="s">
        <v>239</v>
      </c>
      <c r="G78" s="5" t="s">
        <v>209</v>
      </c>
      <c r="H78" s="5" t="s">
        <v>627</v>
      </c>
      <c r="I78" s="7">
        <v>2480</v>
      </c>
      <c r="J78" s="7">
        <v>1476</v>
      </c>
      <c r="K78" s="11">
        <f>IF(I78="","",I78/Config!$B$2*100)</f>
        <v>48.4375</v>
      </c>
      <c r="L78" s="11">
        <f>IF(J78="","",J78/Config!$B$3*100)</f>
        <v>51.249999999999993</v>
      </c>
      <c r="M78" s="5">
        <v>12</v>
      </c>
      <c r="N78" s="6" t="b">
        <v>1</v>
      </c>
      <c r="O78" s="6" t="b">
        <v>0</v>
      </c>
      <c r="P78" s="6" t="b">
        <v>1</v>
      </c>
      <c r="Q78" s="5"/>
      <c r="R78" s="5"/>
    </row>
    <row r="79" spans="1:18" ht="15">
      <c r="A79" s="5" t="str">
        <f t="shared" si="1"/>
        <v>완료</v>
      </c>
      <c r="B79" s="5">
        <v>78</v>
      </c>
      <c r="C79" s="5" t="s">
        <v>708</v>
      </c>
      <c r="D79" s="5" t="s">
        <v>240</v>
      </c>
      <c r="E79" s="5" t="s">
        <v>240</v>
      </c>
      <c r="F79" s="5" t="s">
        <v>241</v>
      </c>
      <c r="G79" s="5" t="s">
        <v>209</v>
      </c>
      <c r="H79" s="5" t="s">
        <v>627</v>
      </c>
      <c r="I79" s="7">
        <v>2480</v>
      </c>
      <c r="J79" s="7">
        <v>1556</v>
      </c>
      <c r="K79" s="11">
        <f>IF(I79="","",I79/Config!$B$2*100)</f>
        <v>48.4375</v>
      </c>
      <c r="L79" s="11">
        <f>IF(J79="","",J79/Config!$B$3*100)</f>
        <v>54.027777777777771</v>
      </c>
      <c r="M79" s="5">
        <v>10</v>
      </c>
      <c r="N79" s="6" t="b">
        <v>0</v>
      </c>
      <c r="O79" s="6" t="b">
        <v>0</v>
      </c>
      <c r="P79" s="6" t="b">
        <v>1</v>
      </c>
      <c r="Q79" s="5"/>
      <c r="R79" s="5"/>
    </row>
    <row r="80" spans="1:18" ht="15">
      <c r="A80" s="5" t="str">
        <f>IF(OR(I80="",J80=""),"미작업","완료")</f>
        <v>완료</v>
      </c>
      <c r="B80" s="5">
        <v>79</v>
      </c>
      <c r="C80" s="5" t="s">
        <v>709</v>
      </c>
      <c r="D80" s="5" t="s">
        <v>242</v>
      </c>
      <c r="E80" s="5" t="s">
        <v>242</v>
      </c>
      <c r="F80" s="5" t="s">
        <v>243</v>
      </c>
      <c r="G80" s="5" t="s">
        <v>209</v>
      </c>
      <c r="H80" s="5" t="s">
        <v>627</v>
      </c>
      <c r="I80" s="7">
        <v>2480</v>
      </c>
      <c r="J80" s="7">
        <v>1636</v>
      </c>
      <c r="K80" s="11">
        <f>IF(I80="","",I80/Config!$B$2*100)</f>
        <v>48.4375</v>
      </c>
      <c r="L80" s="11">
        <f>IF(J80="","",J80/Config!$B$3*100)</f>
        <v>56.805555555555557</v>
      </c>
      <c r="M80" s="5">
        <v>10</v>
      </c>
      <c r="N80" s="6" t="b">
        <v>0</v>
      </c>
      <c r="O80" s="6" t="b">
        <v>0</v>
      </c>
      <c r="P80" s="6" t="b">
        <v>1</v>
      </c>
      <c r="Q80" s="5"/>
      <c r="R80" s="5"/>
    </row>
    <row r="81" spans="1:18" ht="15">
      <c r="A81" s="5" t="str">
        <f>IF(OR(I81="",J81=""),"미작업","완료")</f>
        <v>완료</v>
      </c>
      <c r="B81" s="5">
        <v>80</v>
      </c>
      <c r="C81" s="5" t="s">
        <v>710</v>
      </c>
      <c r="D81" s="5" t="s">
        <v>244</v>
      </c>
      <c r="E81" s="5" t="s">
        <v>244</v>
      </c>
      <c r="F81" s="5" t="s">
        <v>245</v>
      </c>
      <c r="G81" s="5" t="s">
        <v>209</v>
      </c>
      <c r="H81" s="5" t="s">
        <v>627</v>
      </c>
      <c r="I81" s="7">
        <v>2480</v>
      </c>
      <c r="J81" s="7">
        <v>1760</v>
      </c>
      <c r="K81" s="11">
        <f>IF(I81="","",I81/Config!$B$2*100)</f>
        <v>48.4375</v>
      </c>
      <c r="L81" s="11">
        <f>IF(J81="","",J81/Config!$B$3*100)</f>
        <v>61.111111111111114</v>
      </c>
      <c r="M81" s="5">
        <v>10</v>
      </c>
      <c r="N81" s="6" t="b">
        <v>0</v>
      </c>
      <c r="O81" s="6" t="b">
        <v>0</v>
      </c>
      <c r="P81" s="6" t="b">
        <v>1</v>
      </c>
      <c r="Q81" s="5"/>
      <c r="R81" s="5"/>
    </row>
    <row r="82" spans="1:18" ht="15">
      <c r="A82" s="5" t="str">
        <f t="shared" si="1"/>
        <v>완료</v>
      </c>
      <c r="B82" s="5">
        <v>81</v>
      </c>
      <c r="C82" s="5" t="s">
        <v>711</v>
      </c>
      <c r="D82" s="5" t="s">
        <v>246</v>
      </c>
      <c r="E82" s="5" t="s">
        <v>246</v>
      </c>
      <c r="F82" s="5" t="s">
        <v>247</v>
      </c>
      <c r="G82" s="5" t="s">
        <v>209</v>
      </c>
      <c r="H82" s="5" t="s">
        <v>627</v>
      </c>
      <c r="I82" s="7">
        <v>2480</v>
      </c>
      <c r="J82" s="7">
        <v>1828</v>
      </c>
      <c r="K82" s="11">
        <f>IF(I82="","",I82/Config!$B$2*100)</f>
        <v>48.4375</v>
      </c>
      <c r="L82" s="11">
        <f>IF(J82="","",J82/Config!$B$3*100)</f>
        <v>63.472222222222221</v>
      </c>
      <c r="M82" s="5">
        <v>10</v>
      </c>
      <c r="N82" s="6" t="b">
        <v>0</v>
      </c>
      <c r="O82" s="6" t="b">
        <v>0</v>
      </c>
      <c r="P82" s="6" t="b">
        <v>1</v>
      </c>
      <c r="Q82" s="5"/>
      <c r="R82" s="5"/>
    </row>
    <row r="83" spans="1:18" ht="15">
      <c r="A83" s="5" t="str">
        <f t="shared" si="1"/>
        <v>완료</v>
      </c>
      <c r="B83" s="5">
        <v>82</v>
      </c>
      <c r="C83" s="5" t="s">
        <v>712</v>
      </c>
      <c r="D83" s="5" t="s">
        <v>248</v>
      </c>
      <c r="E83" s="5" t="s">
        <v>248</v>
      </c>
      <c r="F83" s="5" t="s">
        <v>249</v>
      </c>
      <c r="G83" s="5" t="s">
        <v>209</v>
      </c>
      <c r="H83" s="5" t="s">
        <v>627</v>
      </c>
      <c r="I83" s="7">
        <v>2480</v>
      </c>
      <c r="J83" s="7">
        <v>1884</v>
      </c>
      <c r="K83" s="11">
        <f>IF(I83="","",I83/Config!$B$2*100)</f>
        <v>48.4375</v>
      </c>
      <c r="L83" s="11">
        <f>IF(J83="","",J83/Config!$B$3*100)</f>
        <v>65.416666666666671</v>
      </c>
      <c r="M83" s="5">
        <v>10</v>
      </c>
      <c r="N83" s="6" t="b">
        <v>0</v>
      </c>
      <c r="O83" s="6" t="b">
        <v>0</v>
      </c>
      <c r="P83" s="6" t="b">
        <v>1</v>
      </c>
      <c r="Q83" s="5"/>
      <c r="R83" s="5"/>
    </row>
    <row r="84" spans="1:18" ht="15">
      <c r="A84" s="5" t="str">
        <f t="shared" si="1"/>
        <v>완료</v>
      </c>
      <c r="B84" s="5">
        <v>83</v>
      </c>
      <c r="C84" s="5" t="s">
        <v>713</v>
      </c>
      <c r="D84" s="5" t="s">
        <v>250</v>
      </c>
      <c r="E84" s="5" t="s">
        <v>250</v>
      </c>
      <c r="F84" s="5" t="s">
        <v>251</v>
      </c>
      <c r="G84" s="5" t="s">
        <v>209</v>
      </c>
      <c r="H84" s="5" t="s">
        <v>627</v>
      </c>
      <c r="I84" s="7">
        <v>2480</v>
      </c>
      <c r="J84" s="7">
        <v>1964</v>
      </c>
      <c r="K84" s="11">
        <f>IF(I84="","",I84/Config!$B$2*100)</f>
        <v>48.4375</v>
      </c>
      <c r="L84" s="11">
        <f>IF(J84="","",J84/Config!$B$3*100)</f>
        <v>68.194444444444443</v>
      </c>
      <c r="M84" s="5">
        <v>12</v>
      </c>
      <c r="N84" s="6" t="b">
        <v>1</v>
      </c>
      <c r="O84" s="6" t="b">
        <v>0</v>
      </c>
      <c r="P84" s="6" t="b">
        <v>1</v>
      </c>
      <c r="Q84" s="5"/>
      <c r="R84" s="5"/>
    </row>
    <row r="85" spans="1:18" ht="15">
      <c r="A85" s="5" t="str">
        <f t="shared" si="1"/>
        <v>완료</v>
      </c>
      <c r="B85" s="5">
        <v>84</v>
      </c>
      <c r="C85" s="5" t="s">
        <v>714</v>
      </c>
      <c r="D85" s="5" t="s">
        <v>254</v>
      </c>
      <c r="E85" s="5" t="s">
        <v>254</v>
      </c>
      <c r="F85" s="5" t="s">
        <v>255</v>
      </c>
      <c r="G85" s="5" t="s">
        <v>209</v>
      </c>
      <c r="H85" s="5" t="s">
        <v>627</v>
      </c>
      <c r="I85" s="7">
        <v>2480</v>
      </c>
      <c r="J85" s="7">
        <v>2252</v>
      </c>
      <c r="K85" s="11">
        <f>IF(I85="","",I85/Config!$B$2*100)</f>
        <v>48.4375</v>
      </c>
      <c r="L85" s="11">
        <f>IF(J85="","",J85/Config!$B$3*100)</f>
        <v>78.194444444444443</v>
      </c>
      <c r="M85" s="5">
        <v>10</v>
      </c>
      <c r="N85" s="6" t="b">
        <v>0</v>
      </c>
      <c r="O85" s="6" t="b">
        <v>0</v>
      </c>
      <c r="P85" s="6" t="b">
        <v>1</v>
      </c>
      <c r="Q85" s="5"/>
      <c r="R85" s="5"/>
    </row>
    <row r="86" spans="1:18" ht="15">
      <c r="A86" s="5" t="str">
        <f t="shared" si="1"/>
        <v>완료</v>
      </c>
      <c r="B86" s="5">
        <v>85</v>
      </c>
      <c r="C86" s="5" t="s">
        <v>715</v>
      </c>
      <c r="D86" s="5" t="s">
        <v>256</v>
      </c>
      <c r="E86" s="5" t="s">
        <v>256</v>
      </c>
      <c r="F86" s="5" t="s">
        <v>257</v>
      </c>
      <c r="G86" s="5" t="s">
        <v>209</v>
      </c>
      <c r="H86" s="5" t="s">
        <v>627</v>
      </c>
      <c r="I86" s="7">
        <v>2616</v>
      </c>
      <c r="J86" s="7">
        <v>2252</v>
      </c>
      <c r="K86" s="11">
        <f>IF(I86="","",I86/Config!$B$2*100)</f>
        <v>51.093750000000007</v>
      </c>
      <c r="L86" s="11">
        <f>IF(J86="","",J86/Config!$B$3*100)</f>
        <v>78.194444444444443</v>
      </c>
      <c r="M86" s="5">
        <v>10</v>
      </c>
      <c r="N86" s="6" t="b">
        <v>0</v>
      </c>
      <c r="O86" s="6" t="b">
        <v>0</v>
      </c>
      <c r="P86" s="6" t="b">
        <v>1</v>
      </c>
      <c r="Q86" s="5"/>
      <c r="R86" s="5"/>
    </row>
    <row r="87" spans="1:18" ht="15">
      <c r="A87" s="5" t="str">
        <f t="shared" si="1"/>
        <v>완료</v>
      </c>
      <c r="B87" s="5">
        <v>86</v>
      </c>
      <c r="C87" s="5" t="s">
        <v>716</v>
      </c>
      <c r="D87" s="5" t="s">
        <v>258</v>
      </c>
      <c r="E87" s="5" t="s">
        <v>258</v>
      </c>
      <c r="F87" s="5" t="s">
        <v>259</v>
      </c>
      <c r="G87" s="5" t="s">
        <v>209</v>
      </c>
      <c r="H87" s="5" t="s">
        <v>627</v>
      </c>
      <c r="I87" s="7">
        <v>2696</v>
      </c>
      <c r="J87" s="7">
        <v>2252</v>
      </c>
      <c r="K87" s="11">
        <f>IF(I87="","",I87/Config!$B$2*100)</f>
        <v>52.656250000000007</v>
      </c>
      <c r="L87" s="11">
        <f>IF(J87="","",J87/Config!$B$3*100)</f>
        <v>78.194444444444443</v>
      </c>
      <c r="M87" s="5">
        <v>10</v>
      </c>
      <c r="N87" s="6" t="b">
        <v>0</v>
      </c>
      <c r="O87" s="6" t="b">
        <v>0</v>
      </c>
      <c r="P87" s="6" t="b">
        <v>1</v>
      </c>
      <c r="Q87" s="5"/>
      <c r="R87" s="5"/>
    </row>
    <row r="88" spans="1:18" ht="15">
      <c r="A88" s="5" t="str">
        <f t="shared" si="1"/>
        <v>완료</v>
      </c>
      <c r="B88" s="5">
        <v>87</v>
      </c>
      <c r="C88" s="5" t="s">
        <v>717</v>
      </c>
      <c r="D88" s="5" t="s">
        <v>260</v>
      </c>
      <c r="E88" s="5" t="s">
        <v>260</v>
      </c>
      <c r="F88" s="5" t="s">
        <v>261</v>
      </c>
      <c r="G88" s="5" t="s">
        <v>209</v>
      </c>
      <c r="H88" s="5" t="s">
        <v>627</v>
      </c>
      <c r="I88" s="7">
        <v>2776</v>
      </c>
      <c r="J88" s="7">
        <v>2252</v>
      </c>
      <c r="K88" s="11">
        <f>IF(I88="","",I88/Config!$B$2*100)</f>
        <v>54.218750000000007</v>
      </c>
      <c r="L88" s="11">
        <f>IF(J88="","",J88/Config!$B$3*100)</f>
        <v>78.194444444444443</v>
      </c>
      <c r="M88" s="5">
        <v>10</v>
      </c>
      <c r="N88" s="6" t="b">
        <v>0</v>
      </c>
      <c r="O88" s="6" t="b">
        <v>0</v>
      </c>
      <c r="P88" s="6" t="b">
        <v>1</v>
      </c>
      <c r="Q88" s="5"/>
      <c r="R88" s="5"/>
    </row>
    <row r="89" spans="1:18" ht="15">
      <c r="A89" s="5" t="str">
        <f t="shared" si="1"/>
        <v>완료</v>
      </c>
      <c r="B89" s="5">
        <v>88</v>
      </c>
      <c r="C89" s="5" t="s">
        <v>718</v>
      </c>
      <c r="D89" s="5" t="s">
        <v>262</v>
      </c>
      <c r="E89" s="5" t="s">
        <v>262</v>
      </c>
      <c r="F89" s="5" t="s">
        <v>263</v>
      </c>
      <c r="G89" s="5" t="s">
        <v>209</v>
      </c>
      <c r="H89" s="5" t="s">
        <v>627</v>
      </c>
      <c r="I89" s="7">
        <v>2860</v>
      </c>
      <c r="J89" s="7">
        <v>2252</v>
      </c>
      <c r="K89" s="11">
        <f>IF(I89="","",I89/Config!$B$2*100)</f>
        <v>55.859375</v>
      </c>
      <c r="L89" s="11">
        <f>IF(J89="","",J89/Config!$B$3*100)</f>
        <v>78.194444444444443</v>
      </c>
      <c r="M89" s="5">
        <v>10</v>
      </c>
      <c r="N89" s="6" t="b">
        <v>0</v>
      </c>
      <c r="O89" s="6" t="b">
        <v>0</v>
      </c>
      <c r="P89" s="6" t="b">
        <v>1</v>
      </c>
      <c r="Q89" s="5"/>
      <c r="R89" s="5"/>
    </row>
    <row r="90" spans="1:18" ht="15">
      <c r="A90" s="5" t="str">
        <f t="shared" si="1"/>
        <v>완료</v>
      </c>
      <c r="B90" s="5">
        <v>89</v>
      </c>
      <c r="C90" s="5" t="s">
        <v>719</v>
      </c>
      <c r="D90" s="5" t="s">
        <v>264</v>
      </c>
      <c r="E90" s="5" t="s">
        <v>264</v>
      </c>
      <c r="F90" s="5" t="s">
        <v>265</v>
      </c>
      <c r="G90" s="5" t="s">
        <v>209</v>
      </c>
      <c r="H90" s="5" t="s">
        <v>627</v>
      </c>
      <c r="I90" s="7">
        <v>2944</v>
      </c>
      <c r="J90" s="7">
        <v>2252</v>
      </c>
      <c r="K90" s="11">
        <f>IF(I90="","",I90/Config!$B$2*100)</f>
        <v>57.499999999999993</v>
      </c>
      <c r="L90" s="11">
        <f>IF(J90="","",J90/Config!$B$3*100)</f>
        <v>78.194444444444443</v>
      </c>
      <c r="M90" s="5">
        <v>10</v>
      </c>
      <c r="N90" s="6" t="b">
        <v>0</v>
      </c>
      <c r="O90" s="6" t="b">
        <v>0</v>
      </c>
      <c r="P90" s="6" t="b">
        <v>1</v>
      </c>
      <c r="Q90" s="5"/>
      <c r="R90" s="5"/>
    </row>
    <row r="91" spans="1:18" ht="15">
      <c r="A91" s="5" t="str">
        <f t="shared" si="1"/>
        <v>완료</v>
      </c>
      <c r="B91" s="5">
        <v>90</v>
      </c>
      <c r="C91" s="5" t="s">
        <v>720</v>
      </c>
      <c r="D91" s="5" t="s">
        <v>266</v>
      </c>
      <c r="E91" s="5" t="s">
        <v>266</v>
      </c>
      <c r="F91" s="5" t="s">
        <v>267</v>
      </c>
      <c r="G91" s="5" t="s">
        <v>209</v>
      </c>
      <c r="H91" s="5" t="s">
        <v>627</v>
      </c>
      <c r="I91" s="7">
        <v>3028</v>
      </c>
      <c r="J91" s="7">
        <v>2252</v>
      </c>
      <c r="K91" s="11">
        <f>IF(I91="","",I91/Config!$B$2*100)</f>
        <v>59.140625</v>
      </c>
      <c r="L91" s="11">
        <f>IF(J91="","",J91/Config!$B$3*100)</f>
        <v>78.194444444444443</v>
      </c>
      <c r="M91" s="5">
        <v>10</v>
      </c>
      <c r="N91" s="6" t="b">
        <v>0</v>
      </c>
      <c r="O91" s="6" t="b">
        <v>0</v>
      </c>
      <c r="P91" s="6" t="b">
        <v>1</v>
      </c>
      <c r="Q91" s="5"/>
      <c r="R91" s="5"/>
    </row>
    <row r="92" spans="1:18" ht="15">
      <c r="A92" s="5" t="str">
        <f t="shared" si="1"/>
        <v>완료</v>
      </c>
      <c r="B92" s="5">
        <v>91</v>
      </c>
      <c r="C92" s="5" t="s">
        <v>721</v>
      </c>
      <c r="D92" s="5" t="s">
        <v>268</v>
      </c>
      <c r="E92" s="5" t="s">
        <v>268</v>
      </c>
      <c r="F92" s="5" t="s">
        <v>269</v>
      </c>
      <c r="G92" s="5" t="s">
        <v>209</v>
      </c>
      <c r="H92" s="5" t="s">
        <v>627</v>
      </c>
      <c r="I92" s="7">
        <v>3112</v>
      </c>
      <c r="J92" s="7">
        <v>2252</v>
      </c>
      <c r="K92" s="11">
        <f>IF(I92="","",I92/Config!$B$2*100)</f>
        <v>60.78125</v>
      </c>
      <c r="L92" s="11">
        <f>IF(J92="","",J92/Config!$B$3*100)</f>
        <v>78.194444444444443</v>
      </c>
      <c r="M92" s="5">
        <v>10</v>
      </c>
      <c r="N92" s="6" t="b">
        <v>0</v>
      </c>
      <c r="O92" s="6" t="b">
        <v>0</v>
      </c>
      <c r="P92" s="6" t="b">
        <v>1</v>
      </c>
      <c r="Q92" s="5"/>
      <c r="R92" s="5"/>
    </row>
    <row r="93" spans="1:18" ht="15">
      <c r="A93" s="5" t="str">
        <f t="shared" si="1"/>
        <v>완료</v>
      </c>
      <c r="B93" s="5">
        <v>92</v>
      </c>
      <c r="C93" s="5" t="s">
        <v>722</v>
      </c>
      <c r="D93" s="5" t="s">
        <v>270</v>
      </c>
      <c r="E93" s="5" t="s">
        <v>270</v>
      </c>
      <c r="F93" s="5" t="s">
        <v>271</v>
      </c>
      <c r="G93" s="5" t="s">
        <v>209</v>
      </c>
      <c r="H93" s="5" t="s">
        <v>627</v>
      </c>
      <c r="I93" s="7">
        <v>3232</v>
      </c>
      <c r="J93" s="7">
        <v>2328</v>
      </c>
      <c r="K93" s="11">
        <f>IF(I93="","",I93/Config!$B$2*100)</f>
        <v>63.125</v>
      </c>
      <c r="L93" s="11">
        <f>IF(J93="","",J93/Config!$B$3*100)</f>
        <v>80.833333333333329</v>
      </c>
      <c r="M93" s="5">
        <v>10</v>
      </c>
      <c r="N93" s="6" t="b">
        <v>0</v>
      </c>
      <c r="O93" s="6" t="b">
        <v>0</v>
      </c>
      <c r="P93" s="6" t="b">
        <v>1</v>
      </c>
      <c r="Q93" s="5"/>
      <c r="R93" s="5"/>
    </row>
    <row r="94" spans="1:18" ht="15">
      <c r="A94" s="5" t="str">
        <f t="shared" si="1"/>
        <v>완료</v>
      </c>
      <c r="B94" s="5">
        <v>93</v>
      </c>
      <c r="C94" s="5" t="s">
        <v>723</v>
      </c>
      <c r="D94" s="5" t="s">
        <v>272</v>
      </c>
      <c r="E94" s="5" t="s">
        <v>272</v>
      </c>
      <c r="F94" s="5" t="s">
        <v>273</v>
      </c>
      <c r="G94" s="5" t="s">
        <v>209</v>
      </c>
      <c r="H94" s="5" t="s">
        <v>627</v>
      </c>
      <c r="I94" s="7">
        <v>3300</v>
      </c>
      <c r="J94" s="7">
        <v>2140</v>
      </c>
      <c r="K94" s="11">
        <f>IF(I94="","",I94/Config!$B$2*100)</f>
        <v>64.453125</v>
      </c>
      <c r="L94" s="11">
        <f>IF(J94="","",J94/Config!$B$3*100)</f>
        <v>74.305555555555557</v>
      </c>
      <c r="M94" s="5">
        <v>12</v>
      </c>
      <c r="N94" s="6" t="b">
        <v>1</v>
      </c>
      <c r="O94" s="6" t="b">
        <v>0</v>
      </c>
      <c r="P94" s="6" t="b">
        <v>1</v>
      </c>
      <c r="Q94" s="5"/>
      <c r="R94" s="5"/>
    </row>
    <row r="95" spans="1:18" ht="15">
      <c r="A95" s="5" t="str">
        <f t="shared" si="1"/>
        <v>완료</v>
      </c>
      <c r="B95" s="5">
        <v>94</v>
      </c>
      <c r="C95" s="5" t="s">
        <v>724</v>
      </c>
      <c r="D95" s="5" t="s">
        <v>276</v>
      </c>
      <c r="E95" s="5" t="s">
        <v>276</v>
      </c>
      <c r="F95" s="5" t="s">
        <v>277</v>
      </c>
      <c r="G95" s="5" t="s">
        <v>209</v>
      </c>
      <c r="H95" s="5" t="s">
        <v>627</v>
      </c>
      <c r="I95" s="7">
        <v>3354</v>
      </c>
      <c r="J95" s="7">
        <v>1992</v>
      </c>
      <c r="K95" s="11">
        <f>IF(I95="","",I95/Config!$B$2*100)</f>
        <v>65.5078125</v>
      </c>
      <c r="L95" s="11">
        <f>IF(J95="","",J95/Config!$B$3*100)</f>
        <v>69.166666666666671</v>
      </c>
      <c r="M95" s="5">
        <v>10</v>
      </c>
      <c r="N95" s="6" t="b">
        <v>0</v>
      </c>
      <c r="O95" s="6" t="b">
        <v>0</v>
      </c>
      <c r="P95" s="6" t="b">
        <v>1</v>
      </c>
      <c r="Q95" s="5"/>
      <c r="R95" s="5"/>
    </row>
    <row r="96" spans="1:18" ht="15">
      <c r="A96" s="5" t="str">
        <f t="shared" si="1"/>
        <v>완료</v>
      </c>
      <c r="B96" s="5">
        <v>95</v>
      </c>
      <c r="C96" s="5" t="s">
        <v>725</v>
      </c>
      <c r="D96" s="5" t="s">
        <v>278</v>
      </c>
      <c r="E96" s="5" t="s">
        <v>278</v>
      </c>
      <c r="F96" s="5" t="s">
        <v>279</v>
      </c>
      <c r="G96" s="5" t="s">
        <v>209</v>
      </c>
      <c r="H96" s="5" t="s">
        <v>627</v>
      </c>
      <c r="I96" s="7">
        <v>3696</v>
      </c>
      <c r="J96" s="7">
        <v>1992</v>
      </c>
      <c r="K96" s="11">
        <f>IF(I96="","",I96/Config!$B$2*100)</f>
        <v>72.1875</v>
      </c>
      <c r="L96" s="11">
        <f>IF(J96="","",J96/Config!$B$3*100)</f>
        <v>69.166666666666671</v>
      </c>
      <c r="M96" s="5">
        <v>12</v>
      </c>
      <c r="N96" s="6" t="b">
        <v>1</v>
      </c>
      <c r="O96" s="6" t="b">
        <v>1</v>
      </c>
      <c r="P96" s="6" t="b">
        <v>1</v>
      </c>
      <c r="Q96" s="5"/>
      <c r="R96" s="5"/>
    </row>
    <row r="97" spans="1:18" ht="15">
      <c r="A97" s="5" t="str">
        <f t="shared" si="1"/>
        <v>완료</v>
      </c>
      <c r="B97" s="5">
        <v>96</v>
      </c>
      <c r="C97" s="5" t="s">
        <v>726</v>
      </c>
      <c r="D97" s="5" t="s">
        <v>56</v>
      </c>
      <c r="E97" s="5" t="s">
        <v>56</v>
      </c>
      <c r="F97" s="5" t="s">
        <v>56</v>
      </c>
      <c r="G97" s="5" t="s">
        <v>284</v>
      </c>
      <c r="H97" s="5" t="s">
        <v>627</v>
      </c>
      <c r="I97" s="7">
        <v>1916</v>
      </c>
      <c r="J97" s="7">
        <v>1308</v>
      </c>
      <c r="K97" s="11">
        <f>IF(I97="","",I97/Config!$B$2*100)</f>
        <v>37.421875</v>
      </c>
      <c r="L97" s="11">
        <f>IF(J97="","",J97/Config!$B$3*100)</f>
        <v>45.416666666666664</v>
      </c>
      <c r="M97" s="5">
        <v>12</v>
      </c>
      <c r="N97" s="6" t="b">
        <v>1</v>
      </c>
      <c r="O97" s="6" t="b">
        <v>0</v>
      </c>
      <c r="P97" s="6" t="b">
        <v>0</v>
      </c>
      <c r="Q97" s="5"/>
      <c r="R97" s="5"/>
    </row>
    <row r="98" spans="1:18" ht="15">
      <c r="A98" s="5" t="str">
        <f t="shared" si="1"/>
        <v>완료</v>
      </c>
      <c r="B98" s="5">
        <v>97</v>
      </c>
      <c r="C98" s="5" t="s">
        <v>727</v>
      </c>
      <c r="D98" s="5" t="s">
        <v>73</v>
      </c>
      <c r="E98" s="5" t="s">
        <v>73</v>
      </c>
      <c r="F98" s="5" t="s">
        <v>74</v>
      </c>
      <c r="G98" s="5" t="s">
        <v>284</v>
      </c>
      <c r="H98" s="5" t="s">
        <v>627</v>
      </c>
      <c r="I98" s="7">
        <v>2328</v>
      </c>
      <c r="J98" s="7">
        <v>980</v>
      </c>
      <c r="K98" s="11">
        <f>IF(I98="","",I98/Config!$B$2*100)</f>
        <v>45.46875</v>
      </c>
      <c r="L98" s="11">
        <f>IF(J98="","",J98/Config!$B$3*100)</f>
        <v>34.027777777777779</v>
      </c>
      <c r="M98" s="5">
        <v>12</v>
      </c>
      <c r="N98" s="6" t="b">
        <v>1</v>
      </c>
      <c r="O98" s="6" t="b">
        <v>0</v>
      </c>
      <c r="P98" s="6" t="b">
        <v>0</v>
      </c>
      <c r="Q98" s="5"/>
      <c r="R98" s="5"/>
    </row>
    <row r="99" spans="1:18" ht="15">
      <c r="A99" s="5" t="str">
        <f>IF(OR(I99="",J99=""),"미작업","완료")</f>
        <v>완료</v>
      </c>
      <c r="B99" s="5">
        <v>98</v>
      </c>
      <c r="C99" s="5" t="s">
        <v>728</v>
      </c>
      <c r="D99" s="5" t="s">
        <v>99</v>
      </c>
      <c r="E99" s="5" t="s">
        <v>99</v>
      </c>
      <c r="F99" s="5" t="s">
        <v>100</v>
      </c>
      <c r="G99" s="5" t="s">
        <v>284</v>
      </c>
      <c r="H99" s="5" t="s">
        <v>627</v>
      </c>
      <c r="I99" s="7">
        <v>2328</v>
      </c>
      <c r="J99" s="7">
        <v>1144</v>
      </c>
      <c r="K99" s="11">
        <f>IF(I99="","",I99/Config!$B$2*100)</f>
        <v>45.46875</v>
      </c>
      <c r="L99" s="11">
        <f>IF(J99="","",J99/Config!$B$3*100)</f>
        <v>39.722222222222221</v>
      </c>
      <c r="M99" s="5">
        <v>12</v>
      </c>
      <c r="N99" s="6" t="b">
        <v>1</v>
      </c>
      <c r="O99" s="6" t="b">
        <v>0</v>
      </c>
      <c r="P99" s="6" t="b">
        <v>0</v>
      </c>
      <c r="Q99" s="5" t="s">
        <v>103</v>
      </c>
      <c r="R99" s="5"/>
    </row>
    <row r="100" spans="1:18" ht="15">
      <c r="A100" s="5" t="str">
        <f>IF(OR(I100="",J100=""),"미작업","완료")</f>
        <v>완료</v>
      </c>
      <c r="B100" s="5">
        <v>99</v>
      </c>
      <c r="C100" s="5" t="s">
        <v>729</v>
      </c>
      <c r="D100" s="5" t="s">
        <v>151</v>
      </c>
      <c r="E100" s="5" t="s">
        <v>151</v>
      </c>
      <c r="F100" s="5" t="s">
        <v>152</v>
      </c>
      <c r="G100" s="5" t="s">
        <v>284</v>
      </c>
      <c r="H100" s="5" t="s">
        <v>627</v>
      </c>
      <c r="I100" s="7">
        <v>2200</v>
      </c>
      <c r="J100" s="7">
        <v>2116</v>
      </c>
      <c r="K100" s="11">
        <f>IF(I100="","",I100/Config!$B$2*100)</f>
        <v>42.96875</v>
      </c>
      <c r="L100" s="11">
        <f>IF(J100="","",J100/Config!$B$3*100)</f>
        <v>73.472222222222229</v>
      </c>
      <c r="M100" s="5">
        <v>12</v>
      </c>
      <c r="N100" s="6" t="b">
        <v>1</v>
      </c>
      <c r="O100" s="6" t="b">
        <v>0</v>
      </c>
      <c r="P100" s="6" t="b">
        <v>0</v>
      </c>
      <c r="Q100" s="5"/>
      <c r="R100" s="5"/>
    </row>
    <row r="101" spans="1:18" ht="15">
      <c r="A101" s="5" t="str">
        <f t="shared" si="1"/>
        <v>완료</v>
      </c>
      <c r="B101" s="5">
        <v>100</v>
      </c>
      <c r="C101" s="5" t="s">
        <v>730</v>
      </c>
      <c r="D101" s="5" t="s">
        <v>232</v>
      </c>
      <c r="E101" s="5" t="s">
        <v>232</v>
      </c>
      <c r="F101" s="5" t="s">
        <v>233</v>
      </c>
      <c r="G101" s="5" t="s">
        <v>284</v>
      </c>
      <c r="H101" s="5" t="s">
        <v>627</v>
      </c>
      <c r="I101" s="7">
        <v>2328</v>
      </c>
      <c r="J101" s="7">
        <v>1244</v>
      </c>
      <c r="K101" s="11">
        <f>IF(I101="","",I101/Config!$B$2*100)</f>
        <v>45.46875</v>
      </c>
      <c r="L101" s="11">
        <f>IF(J101="","",J101/Config!$B$3*100)</f>
        <v>43.194444444444443</v>
      </c>
      <c r="M101" s="5">
        <v>12</v>
      </c>
      <c r="N101" s="6" t="b">
        <v>1</v>
      </c>
      <c r="O101" s="6" t="b">
        <v>0</v>
      </c>
      <c r="P101" s="6" t="b">
        <v>0</v>
      </c>
      <c r="Q101" s="5"/>
      <c r="R101" s="5"/>
    </row>
    <row r="102" spans="1:18" ht="15">
      <c r="A102" s="5" t="str">
        <f t="shared" si="1"/>
        <v>완료</v>
      </c>
      <c r="B102" s="5">
        <v>101</v>
      </c>
      <c r="C102" s="5" t="s">
        <v>731</v>
      </c>
      <c r="D102" s="5" t="s">
        <v>282</v>
      </c>
      <c r="E102" s="5" t="s">
        <v>282</v>
      </c>
      <c r="F102" s="5" t="s">
        <v>283</v>
      </c>
      <c r="G102" s="5" t="s">
        <v>284</v>
      </c>
      <c r="H102" s="5" t="s">
        <v>627</v>
      </c>
      <c r="I102" s="7">
        <v>3744</v>
      </c>
      <c r="J102" s="7">
        <v>356</v>
      </c>
      <c r="K102" s="11">
        <f>IF(I102="","",I102/Config!$B$2*100)</f>
        <v>73.125</v>
      </c>
      <c r="L102" s="11">
        <f>IF(J102="","",J102/Config!$B$3*100)</f>
        <v>12.361111111111111</v>
      </c>
      <c r="M102" s="5">
        <v>10</v>
      </c>
      <c r="N102" s="6" t="b">
        <v>0</v>
      </c>
      <c r="O102" s="6" t="b">
        <v>1</v>
      </c>
      <c r="P102" s="6" t="b">
        <v>1</v>
      </c>
      <c r="Q102" s="5" t="s">
        <v>286</v>
      </c>
      <c r="R102" s="5"/>
    </row>
    <row r="103" spans="1:18" ht="15">
      <c r="A103" s="5" t="str">
        <f t="shared" si="1"/>
        <v>완료</v>
      </c>
      <c r="B103" s="5">
        <v>102</v>
      </c>
      <c r="C103" s="5" t="s">
        <v>732</v>
      </c>
      <c r="D103" s="5" t="s">
        <v>287</v>
      </c>
      <c r="E103" s="5" t="s">
        <v>287</v>
      </c>
      <c r="F103" s="5" t="s">
        <v>288</v>
      </c>
      <c r="G103" s="5" t="s">
        <v>284</v>
      </c>
      <c r="H103" s="5" t="s">
        <v>627</v>
      </c>
      <c r="I103" s="7">
        <v>3604</v>
      </c>
      <c r="J103" s="7">
        <v>356</v>
      </c>
      <c r="K103" s="11">
        <f>IF(I103="","",I103/Config!$B$2*100)</f>
        <v>70.390625</v>
      </c>
      <c r="L103" s="11">
        <f>IF(J103="","",J103/Config!$B$3*100)</f>
        <v>12.361111111111111</v>
      </c>
      <c r="M103" s="5">
        <v>10</v>
      </c>
      <c r="N103" s="6" t="b">
        <v>0</v>
      </c>
      <c r="O103" s="6" t="b">
        <v>0</v>
      </c>
      <c r="P103" s="6" t="b">
        <v>1</v>
      </c>
      <c r="Q103" s="5"/>
      <c r="R103" s="5"/>
    </row>
    <row r="104" spans="1:18" ht="15">
      <c r="A104" s="5" t="str">
        <f t="shared" si="1"/>
        <v>완료</v>
      </c>
      <c r="B104" s="5">
        <v>103</v>
      </c>
      <c r="C104" s="5" t="s">
        <v>733</v>
      </c>
      <c r="D104" s="5" t="s">
        <v>289</v>
      </c>
      <c r="E104" s="5" t="s">
        <v>289</v>
      </c>
      <c r="F104" s="5" t="s">
        <v>290</v>
      </c>
      <c r="G104" s="5" t="s">
        <v>284</v>
      </c>
      <c r="H104" s="5" t="s">
        <v>627</v>
      </c>
      <c r="I104" s="7">
        <v>3464</v>
      </c>
      <c r="J104" s="7">
        <v>356</v>
      </c>
      <c r="K104" s="11">
        <f>IF(I104="","",I104/Config!$B$2*100)</f>
        <v>67.65625</v>
      </c>
      <c r="L104" s="11">
        <f>IF(J104="","",J104/Config!$B$3*100)</f>
        <v>12.361111111111111</v>
      </c>
      <c r="M104" s="5">
        <v>12</v>
      </c>
      <c r="N104" s="6" t="b">
        <v>1</v>
      </c>
      <c r="O104" s="6" t="b">
        <v>0</v>
      </c>
      <c r="P104" s="6" t="b">
        <v>1</v>
      </c>
      <c r="Q104" s="5"/>
      <c r="R104" s="5"/>
    </row>
    <row r="105" spans="1:18" ht="15">
      <c r="A105" s="5" t="str">
        <f t="shared" si="1"/>
        <v>완료</v>
      </c>
      <c r="B105" s="5">
        <v>104</v>
      </c>
      <c r="C105" s="5" t="s">
        <v>734</v>
      </c>
      <c r="D105" s="5" t="s">
        <v>293</v>
      </c>
      <c r="E105" s="5" t="s">
        <v>293</v>
      </c>
      <c r="F105" s="5" t="s">
        <v>294</v>
      </c>
      <c r="G105" s="5" t="s">
        <v>284</v>
      </c>
      <c r="H105" s="5" t="s">
        <v>627</v>
      </c>
      <c r="I105" s="7">
        <v>3324</v>
      </c>
      <c r="J105" s="7">
        <v>458</v>
      </c>
      <c r="K105" s="11">
        <f>IF(I105="","",I105/Config!$B$2*100)</f>
        <v>64.921875</v>
      </c>
      <c r="L105" s="11">
        <f>IF(J105="","",J105/Config!$B$3*100)</f>
        <v>15.902777777777777</v>
      </c>
      <c r="M105" s="5">
        <v>10</v>
      </c>
      <c r="N105" s="6" t="b">
        <v>0</v>
      </c>
      <c r="O105" s="6" t="b">
        <v>0</v>
      </c>
      <c r="P105" s="6" t="b">
        <v>1</v>
      </c>
      <c r="Q105" s="5"/>
      <c r="R105" s="5"/>
    </row>
    <row r="106" spans="1:18" ht="15">
      <c r="A106" s="5" t="str">
        <f t="shared" si="1"/>
        <v>완료</v>
      </c>
      <c r="B106" s="5">
        <v>105</v>
      </c>
      <c r="C106" s="5" t="s">
        <v>735</v>
      </c>
      <c r="D106" s="5" t="s">
        <v>295</v>
      </c>
      <c r="E106" s="5" t="s">
        <v>295</v>
      </c>
      <c r="F106" s="5" t="s">
        <v>296</v>
      </c>
      <c r="G106" s="5" t="s">
        <v>284</v>
      </c>
      <c r="H106" s="5" t="s">
        <v>627</v>
      </c>
      <c r="I106" s="7">
        <v>3194</v>
      </c>
      <c r="J106" s="7">
        <v>554</v>
      </c>
      <c r="K106" s="11">
        <f>IF(I106="","",I106/Config!$B$2*100)</f>
        <v>62.382812499999993</v>
      </c>
      <c r="L106" s="11">
        <f>IF(J106="","",J106/Config!$B$3*100)</f>
        <v>19.236111111111111</v>
      </c>
      <c r="M106" s="5">
        <v>10</v>
      </c>
      <c r="N106" s="6" t="b">
        <v>0</v>
      </c>
      <c r="O106" s="6" t="b">
        <v>0</v>
      </c>
      <c r="P106" s="6" t="b">
        <v>1</v>
      </c>
      <c r="Q106" s="5"/>
      <c r="R106" s="5"/>
    </row>
    <row r="107" spans="1:18" ht="15">
      <c r="A107" s="5" t="str">
        <f t="shared" si="1"/>
        <v>완료</v>
      </c>
      <c r="B107" s="5">
        <v>106</v>
      </c>
      <c r="C107" s="5" t="s">
        <v>736</v>
      </c>
      <c r="D107" s="5" t="s">
        <v>297</v>
      </c>
      <c r="E107" s="5" t="s">
        <v>297</v>
      </c>
      <c r="F107" s="5" t="s">
        <v>298</v>
      </c>
      <c r="G107" s="5" t="s">
        <v>284</v>
      </c>
      <c r="H107" s="5" t="s">
        <v>627</v>
      </c>
      <c r="I107" s="7">
        <v>3064</v>
      </c>
      <c r="J107" s="7">
        <v>648</v>
      </c>
      <c r="K107" s="11">
        <f>IF(I107="","",I107/Config!$B$2*100)</f>
        <v>59.843749999999993</v>
      </c>
      <c r="L107" s="11">
        <f>IF(J107="","",J107/Config!$B$3*100)</f>
        <v>22.5</v>
      </c>
      <c r="M107" s="5">
        <v>10</v>
      </c>
      <c r="N107" s="6" t="b">
        <v>0</v>
      </c>
      <c r="O107" s="6" t="b">
        <v>0</v>
      </c>
      <c r="P107" s="6" t="b">
        <v>1</v>
      </c>
      <c r="Q107" s="5"/>
      <c r="R107" s="5"/>
    </row>
    <row r="108" spans="1:18" ht="15">
      <c r="A108" s="5" t="str">
        <f t="shared" si="1"/>
        <v>완료</v>
      </c>
      <c r="B108" s="5">
        <v>107</v>
      </c>
      <c r="C108" s="5" t="s">
        <v>737</v>
      </c>
      <c r="D108" s="5" t="s">
        <v>299</v>
      </c>
      <c r="E108" s="5" t="s">
        <v>299</v>
      </c>
      <c r="F108" s="5" t="s">
        <v>300</v>
      </c>
      <c r="G108" s="5" t="s">
        <v>284</v>
      </c>
      <c r="H108" s="5" t="s">
        <v>627</v>
      </c>
      <c r="I108" s="7">
        <v>2908</v>
      </c>
      <c r="J108" s="7">
        <v>648</v>
      </c>
      <c r="K108" s="11">
        <f>IF(I108="","",I108/Config!$B$2*100)</f>
        <v>56.796875</v>
      </c>
      <c r="L108" s="11">
        <f>IF(J108="","",J108/Config!$B$3*100)</f>
        <v>22.5</v>
      </c>
      <c r="M108" s="5">
        <v>10</v>
      </c>
      <c r="N108" s="6" t="b">
        <v>0</v>
      </c>
      <c r="O108" s="6" t="b">
        <v>0</v>
      </c>
      <c r="P108" s="6" t="b">
        <v>1</v>
      </c>
      <c r="Q108" s="5"/>
      <c r="R108" s="5"/>
    </row>
    <row r="109" spans="1:18" ht="15">
      <c r="A109" s="5" t="str">
        <f t="shared" si="1"/>
        <v>완료</v>
      </c>
      <c r="B109" s="5">
        <v>108</v>
      </c>
      <c r="C109" s="5" t="s">
        <v>738</v>
      </c>
      <c r="D109" s="5" t="s">
        <v>301</v>
      </c>
      <c r="E109" s="5" t="s">
        <v>301</v>
      </c>
      <c r="F109" s="5" t="s">
        <v>302</v>
      </c>
      <c r="G109" s="5" t="s">
        <v>284</v>
      </c>
      <c r="H109" s="5" t="s">
        <v>627</v>
      </c>
      <c r="I109" s="7">
        <v>2752</v>
      </c>
      <c r="J109" s="7">
        <v>648</v>
      </c>
      <c r="K109" s="11">
        <f>IF(I109="","",I109/Config!$B$2*100)</f>
        <v>53.75</v>
      </c>
      <c r="L109" s="11">
        <f>IF(J109="","",J109/Config!$B$3*100)</f>
        <v>22.5</v>
      </c>
      <c r="M109" s="5">
        <v>10</v>
      </c>
      <c r="N109" s="6" t="b">
        <v>0</v>
      </c>
      <c r="O109" s="6" t="b">
        <v>0</v>
      </c>
      <c r="P109" s="6" t="b">
        <v>1</v>
      </c>
      <c r="Q109" s="5"/>
      <c r="R109" s="5"/>
    </row>
    <row r="110" spans="1:18" ht="15">
      <c r="A110" s="5" t="str">
        <f t="shared" si="1"/>
        <v>완료</v>
      </c>
      <c r="B110" s="5">
        <v>109</v>
      </c>
      <c r="C110" s="5" t="s">
        <v>739</v>
      </c>
      <c r="D110" s="5" t="s">
        <v>303</v>
      </c>
      <c r="E110" s="5" t="s">
        <v>303</v>
      </c>
      <c r="F110" s="5" t="s">
        <v>304</v>
      </c>
      <c r="G110" s="5" t="s">
        <v>284</v>
      </c>
      <c r="H110" s="5" t="s">
        <v>627</v>
      </c>
      <c r="I110" s="7">
        <v>2596</v>
      </c>
      <c r="J110" s="7">
        <v>648</v>
      </c>
      <c r="K110" s="11">
        <f>IF(I110="","",I110/Config!$B$2*100)</f>
        <v>50.703125000000007</v>
      </c>
      <c r="L110" s="11">
        <f>IF(J110="","",J110/Config!$B$3*100)</f>
        <v>22.5</v>
      </c>
      <c r="M110" s="5">
        <v>10</v>
      </c>
      <c r="N110" s="6" t="b">
        <v>0</v>
      </c>
      <c r="O110" s="6" t="b">
        <v>0</v>
      </c>
      <c r="P110" s="6" t="b">
        <v>1</v>
      </c>
      <c r="Q110" s="5"/>
      <c r="R110" s="5"/>
    </row>
    <row r="111" spans="1:18" ht="15">
      <c r="A111" s="5" t="str">
        <f t="shared" si="1"/>
        <v>완료</v>
      </c>
      <c r="B111" s="5">
        <v>110</v>
      </c>
      <c r="C111" s="5" t="s">
        <v>740</v>
      </c>
      <c r="D111" s="5" t="s">
        <v>305</v>
      </c>
      <c r="E111" s="5" t="s">
        <v>305</v>
      </c>
      <c r="F111" s="5" t="s">
        <v>306</v>
      </c>
      <c r="G111" s="5" t="s">
        <v>284</v>
      </c>
      <c r="H111" s="5" t="s">
        <v>627</v>
      </c>
      <c r="I111" s="7">
        <v>2440</v>
      </c>
      <c r="J111" s="7">
        <v>648</v>
      </c>
      <c r="K111" s="11">
        <f>IF(I111="","",I111/Config!$B$2*100)</f>
        <v>47.65625</v>
      </c>
      <c r="L111" s="11">
        <f>IF(J111="","",J111/Config!$B$3*100)</f>
        <v>22.5</v>
      </c>
      <c r="M111" s="5">
        <v>10</v>
      </c>
      <c r="N111" s="6" t="b">
        <v>0</v>
      </c>
      <c r="O111" s="6" t="b">
        <v>0</v>
      </c>
      <c r="P111" s="6" t="b">
        <v>1</v>
      </c>
      <c r="Q111" s="5"/>
      <c r="R111" s="5"/>
    </row>
    <row r="112" spans="1:18" ht="15">
      <c r="A112" s="5" t="str">
        <f t="shared" si="1"/>
        <v>완료</v>
      </c>
      <c r="B112" s="5">
        <v>111</v>
      </c>
      <c r="C112" s="5" t="s">
        <v>741</v>
      </c>
      <c r="D112" s="5" t="s">
        <v>307</v>
      </c>
      <c r="E112" s="5" t="s">
        <v>307</v>
      </c>
      <c r="F112" s="5" t="s">
        <v>308</v>
      </c>
      <c r="G112" s="5" t="s">
        <v>284</v>
      </c>
      <c r="H112" s="5" t="s">
        <v>627</v>
      </c>
      <c r="I112" s="7">
        <v>2328</v>
      </c>
      <c r="J112" s="7">
        <v>772</v>
      </c>
      <c r="K112" s="11">
        <f>IF(I112="","",I112/Config!$B$2*100)</f>
        <v>45.46875</v>
      </c>
      <c r="L112" s="11">
        <f>IF(J112="","",J112/Config!$B$3*100)</f>
        <v>26.805555555555554</v>
      </c>
      <c r="M112" s="5">
        <v>10</v>
      </c>
      <c r="N112" s="6" t="b">
        <v>0</v>
      </c>
      <c r="O112" s="6" t="b">
        <v>0</v>
      </c>
      <c r="P112" s="6" t="b">
        <v>1</v>
      </c>
      <c r="Q112" s="5"/>
      <c r="R112" s="5"/>
    </row>
    <row r="113" spans="1:18" ht="15">
      <c r="A113" s="5" t="str">
        <f t="shared" si="1"/>
        <v>완료</v>
      </c>
      <c r="B113" s="5">
        <v>112</v>
      </c>
      <c r="C113" s="5" t="s">
        <v>742</v>
      </c>
      <c r="D113" s="5" t="s">
        <v>309</v>
      </c>
      <c r="E113" s="5" t="s">
        <v>309</v>
      </c>
      <c r="F113" s="5" t="s">
        <v>310</v>
      </c>
      <c r="G113" s="5" t="s">
        <v>284</v>
      </c>
      <c r="H113" s="5" t="s">
        <v>627</v>
      </c>
      <c r="I113" s="7">
        <v>2328</v>
      </c>
      <c r="J113" s="7">
        <v>876</v>
      </c>
      <c r="K113" s="11">
        <f>IF(I113="","",I113/Config!$B$2*100)</f>
        <v>45.46875</v>
      </c>
      <c r="L113" s="11">
        <f>IF(J113="","",J113/Config!$B$3*100)</f>
        <v>30.416666666666664</v>
      </c>
      <c r="M113" s="5">
        <v>10</v>
      </c>
      <c r="N113" s="6" t="b">
        <v>0</v>
      </c>
      <c r="O113" s="6" t="b">
        <v>0</v>
      </c>
      <c r="P113" s="6" t="b">
        <v>1</v>
      </c>
      <c r="Q113" s="5"/>
      <c r="R113" s="5"/>
    </row>
    <row r="114" spans="1:18" ht="15">
      <c r="A114" s="5" t="str">
        <f t="shared" si="1"/>
        <v>완료</v>
      </c>
      <c r="B114" s="5">
        <v>113</v>
      </c>
      <c r="C114" s="5" t="s">
        <v>743</v>
      </c>
      <c r="D114" s="5" t="s">
        <v>311</v>
      </c>
      <c r="E114" s="5" t="s">
        <v>311</v>
      </c>
      <c r="F114" s="5" t="s">
        <v>312</v>
      </c>
      <c r="G114" s="5" t="s">
        <v>284</v>
      </c>
      <c r="H114" s="5" t="s">
        <v>627</v>
      </c>
      <c r="I114" s="7">
        <v>2192</v>
      </c>
      <c r="J114" s="7">
        <v>1308</v>
      </c>
      <c r="K114" s="11">
        <f>IF(I114="","",I114/Config!$B$2*100)</f>
        <v>42.8125</v>
      </c>
      <c r="L114" s="11">
        <f>IF(J114="","",J114/Config!$B$3*100)</f>
        <v>45.416666666666664</v>
      </c>
      <c r="M114" s="5">
        <v>10</v>
      </c>
      <c r="N114" s="6" t="b">
        <v>0</v>
      </c>
      <c r="O114" s="6" t="b">
        <v>0</v>
      </c>
      <c r="P114" s="6" t="b">
        <v>1</v>
      </c>
      <c r="Q114" s="5"/>
      <c r="R114" s="5"/>
    </row>
    <row r="115" spans="1:18" ht="15">
      <c r="A115" s="5" t="str">
        <f t="shared" si="1"/>
        <v>완료</v>
      </c>
      <c r="B115" s="5">
        <v>114</v>
      </c>
      <c r="C115" s="5" t="s">
        <v>744</v>
      </c>
      <c r="D115" s="5" t="s">
        <v>313</v>
      </c>
      <c r="E115" s="5" t="s">
        <v>313</v>
      </c>
      <c r="F115" s="5" t="s">
        <v>314</v>
      </c>
      <c r="G115" s="5" t="s">
        <v>284</v>
      </c>
      <c r="H115" s="5" t="s">
        <v>627</v>
      </c>
      <c r="I115" s="7">
        <v>2076</v>
      </c>
      <c r="J115" s="7">
        <v>1308</v>
      </c>
      <c r="K115" s="11">
        <f>IF(I115="","",I115/Config!$B$2*100)</f>
        <v>40.546875</v>
      </c>
      <c r="L115" s="11">
        <f>IF(J115="","",J115/Config!$B$3*100)</f>
        <v>45.416666666666664</v>
      </c>
      <c r="M115" s="5">
        <v>10</v>
      </c>
      <c r="N115" s="6" t="b">
        <v>0</v>
      </c>
      <c r="O115" s="6" t="b">
        <v>0</v>
      </c>
      <c r="P115" s="6" t="b">
        <v>1</v>
      </c>
      <c r="Q115" s="5"/>
      <c r="R115" s="5"/>
    </row>
    <row r="116" spans="1:18" ht="15">
      <c r="A116" s="5" t="str">
        <f t="shared" si="1"/>
        <v>완료</v>
      </c>
      <c r="B116" s="5">
        <v>115</v>
      </c>
      <c r="C116" s="5" t="s">
        <v>745</v>
      </c>
      <c r="D116" s="5" t="s">
        <v>315</v>
      </c>
      <c r="E116" s="5" t="s">
        <v>315</v>
      </c>
      <c r="F116" s="5" t="s">
        <v>316</v>
      </c>
      <c r="G116" s="5" t="s">
        <v>284</v>
      </c>
      <c r="H116" s="5" t="s">
        <v>627</v>
      </c>
      <c r="I116" s="7">
        <v>1940</v>
      </c>
      <c r="J116" s="7">
        <v>1392</v>
      </c>
      <c r="K116" s="11">
        <f>IF(I116="","",I116/Config!$B$2*100)</f>
        <v>37.890625</v>
      </c>
      <c r="L116" s="11">
        <f>IF(J116="","",J116/Config!$B$3*100)</f>
        <v>48.333333333333336</v>
      </c>
      <c r="M116" s="5">
        <v>10</v>
      </c>
      <c r="N116" s="6" t="b">
        <v>0</v>
      </c>
      <c r="O116" s="6" t="b">
        <v>0</v>
      </c>
      <c r="P116" s="6" t="b">
        <v>1</v>
      </c>
      <c r="Q116" s="5" t="s">
        <v>317</v>
      </c>
      <c r="R116" s="5"/>
    </row>
    <row r="117" spans="1:18" ht="15">
      <c r="A117" s="5" t="str">
        <f t="shared" si="1"/>
        <v>완료</v>
      </c>
      <c r="B117" s="5">
        <v>116</v>
      </c>
      <c r="C117" s="5" t="s">
        <v>746</v>
      </c>
      <c r="D117" s="5" t="s">
        <v>318</v>
      </c>
      <c r="E117" s="5" t="s">
        <v>318</v>
      </c>
      <c r="F117" s="5" t="s">
        <v>319</v>
      </c>
      <c r="G117" s="5" t="s">
        <v>284</v>
      </c>
      <c r="H117" s="5" t="s">
        <v>627</v>
      </c>
      <c r="I117" s="7">
        <v>1940</v>
      </c>
      <c r="J117" s="7">
        <v>1476</v>
      </c>
      <c r="K117" s="11">
        <f>IF(I117="","",I117/Config!$B$2*100)</f>
        <v>37.890625</v>
      </c>
      <c r="L117" s="11">
        <f>IF(J117="","",J117/Config!$B$3*100)</f>
        <v>51.249999999999993</v>
      </c>
      <c r="M117" s="5">
        <v>12</v>
      </c>
      <c r="N117" s="6" t="b">
        <v>1</v>
      </c>
      <c r="O117" s="6" t="b">
        <v>0</v>
      </c>
      <c r="P117" s="6" t="b">
        <v>1</v>
      </c>
      <c r="Q117" s="5"/>
      <c r="R117" s="5"/>
    </row>
    <row r="118" spans="1:18" ht="15">
      <c r="A118" s="5" t="str">
        <f t="shared" si="1"/>
        <v>완료</v>
      </c>
      <c r="B118" s="5">
        <v>117</v>
      </c>
      <c r="C118" s="5" t="s">
        <v>747</v>
      </c>
      <c r="D118" s="5" t="s">
        <v>322</v>
      </c>
      <c r="E118" s="5" t="s">
        <v>322</v>
      </c>
      <c r="F118" s="5" t="s">
        <v>323</v>
      </c>
      <c r="G118" s="5" t="s">
        <v>284</v>
      </c>
      <c r="H118" s="5" t="s">
        <v>627</v>
      </c>
      <c r="I118" s="7">
        <v>2008</v>
      </c>
      <c r="J118" s="7">
        <v>1560</v>
      </c>
      <c r="K118" s="11">
        <f>IF(I118="","",I118/Config!$B$2*100)</f>
        <v>39.21875</v>
      </c>
      <c r="L118" s="11">
        <f>IF(J118="","",J118/Config!$B$3*100)</f>
        <v>54.166666666666664</v>
      </c>
      <c r="M118" s="5">
        <v>10</v>
      </c>
      <c r="N118" s="6" t="b">
        <v>0</v>
      </c>
      <c r="O118" s="6" t="b">
        <v>0</v>
      </c>
      <c r="P118" s="6" t="b">
        <v>1</v>
      </c>
      <c r="Q118" s="5"/>
      <c r="R118" s="5"/>
    </row>
    <row r="119" spans="1:18" ht="15">
      <c r="A119" s="5" t="str">
        <f t="shared" si="1"/>
        <v>완료</v>
      </c>
      <c r="B119" s="5">
        <v>118</v>
      </c>
      <c r="C119" s="5" t="s">
        <v>748</v>
      </c>
      <c r="D119" s="5" t="s">
        <v>324</v>
      </c>
      <c r="E119" s="5" t="s">
        <v>324</v>
      </c>
      <c r="F119" s="5" t="s">
        <v>325</v>
      </c>
      <c r="G119" s="5" t="s">
        <v>284</v>
      </c>
      <c r="H119" s="5" t="s">
        <v>627</v>
      </c>
      <c r="I119" s="7">
        <v>2072</v>
      </c>
      <c r="J119" s="7">
        <v>1632</v>
      </c>
      <c r="K119" s="11">
        <f>IF(I119="","",I119/Config!$B$2*100)</f>
        <v>40.46875</v>
      </c>
      <c r="L119" s="11">
        <f>IF(J119="","",J119/Config!$B$3*100)</f>
        <v>56.666666666666664</v>
      </c>
      <c r="M119" s="5">
        <v>10</v>
      </c>
      <c r="N119" s="6" t="b">
        <v>0</v>
      </c>
      <c r="O119" s="6" t="b">
        <v>0</v>
      </c>
      <c r="P119" s="6" t="b">
        <v>1</v>
      </c>
      <c r="Q119" s="5"/>
      <c r="R119" s="5"/>
    </row>
    <row r="120" spans="1:18" ht="15">
      <c r="A120" s="5" t="str">
        <f t="shared" si="1"/>
        <v>완료</v>
      </c>
      <c r="B120" s="5">
        <v>119</v>
      </c>
      <c r="C120" s="5" t="s">
        <v>749</v>
      </c>
      <c r="D120" s="5" t="s">
        <v>326</v>
      </c>
      <c r="E120" s="5" t="s">
        <v>326</v>
      </c>
      <c r="F120" s="5" t="s">
        <v>327</v>
      </c>
      <c r="G120" s="5" t="s">
        <v>284</v>
      </c>
      <c r="H120" s="5" t="s">
        <v>627</v>
      </c>
      <c r="I120" s="7">
        <v>2200</v>
      </c>
      <c r="J120" s="7">
        <v>1788</v>
      </c>
      <c r="K120" s="11">
        <f>IF(I120="","",I120/Config!$B$2*100)</f>
        <v>42.96875</v>
      </c>
      <c r="L120" s="11">
        <f>IF(J120="","",J120/Config!$B$3*100)</f>
        <v>62.083333333333336</v>
      </c>
      <c r="M120" s="5">
        <v>10</v>
      </c>
      <c r="N120" s="6" t="b">
        <v>0</v>
      </c>
      <c r="O120" s="6" t="b">
        <v>0</v>
      </c>
      <c r="P120" s="6" t="b">
        <v>1</v>
      </c>
      <c r="Q120" s="5"/>
      <c r="R120" s="5"/>
    </row>
    <row r="121" spans="1:18" ht="15">
      <c r="A121" s="5" t="str">
        <f t="shared" si="1"/>
        <v>완료</v>
      </c>
      <c r="B121" s="5">
        <v>120</v>
      </c>
      <c r="C121" s="5" t="s">
        <v>750</v>
      </c>
      <c r="D121" s="5" t="s">
        <v>328</v>
      </c>
      <c r="E121" s="5" t="s">
        <v>328</v>
      </c>
      <c r="F121" s="5" t="s">
        <v>329</v>
      </c>
      <c r="G121" s="5" t="s">
        <v>284</v>
      </c>
      <c r="H121" s="5" t="s">
        <v>627</v>
      </c>
      <c r="I121" s="7">
        <v>2200</v>
      </c>
      <c r="J121" s="7">
        <v>1964</v>
      </c>
      <c r="K121" s="11">
        <f>IF(I121="","",I121/Config!$B$2*100)</f>
        <v>42.96875</v>
      </c>
      <c r="L121" s="11">
        <f>IF(J121="","",J121/Config!$B$3*100)</f>
        <v>68.194444444444443</v>
      </c>
      <c r="M121" s="5">
        <v>12</v>
      </c>
      <c r="N121" s="6" t="b">
        <v>1</v>
      </c>
      <c r="O121" s="6" t="b">
        <v>0</v>
      </c>
      <c r="P121" s="6" t="b">
        <v>1</v>
      </c>
      <c r="Q121" s="5" t="s">
        <v>330</v>
      </c>
      <c r="R121" s="5"/>
    </row>
    <row r="122" spans="1:18" ht="15">
      <c r="A122" s="5" t="str">
        <f t="shared" si="1"/>
        <v>완료</v>
      </c>
      <c r="B122" s="5">
        <v>121</v>
      </c>
      <c r="C122" s="5" t="s">
        <v>751</v>
      </c>
      <c r="D122" s="5" t="s">
        <v>331</v>
      </c>
      <c r="E122" s="5" t="s">
        <v>331</v>
      </c>
      <c r="F122" s="5" t="s">
        <v>332</v>
      </c>
      <c r="G122" s="5" t="s">
        <v>284</v>
      </c>
      <c r="H122" s="5" t="s">
        <v>627</v>
      </c>
      <c r="I122" s="7">
        <v>2200</v>
      </c>
      <c r="J122" s="7">
        <v>2252</v>
      </c>
      <c r="K122" s="11">
        <f>IF(I122="","",I122/Config!$B$2*100)</f>
        <v>42.96875</v>
      </c>
      <c r="L122" s="11">
        <f>IF(J122="","",J122/Config!$B$3*100)</f>
        <v>78.194444444444443</v>
      </c>
      <c r="M122" s="5">
        <v>10</v>
      </c>
      <c r="N122" s="6" t="b">
        <v>0</v>
      </c>
      <c r="O122" s="6" t="b">
        <v>1</v>
      </c>
      <c r="P122" s="6" t="b">
        <v>1</v>
      </c>
      <c r="Q122" s="5"/>
      <c r="R122" s="5"/>
    </row>
    <row r="123" spans="1:18" ht="15">
      <c r="A123" s="5" t="str">
        <f t="shared" si="1"/>
        <v>완료</v>
      </c>
      <c r="B123" s="5">
        <v>122</v>
      </c>
      <c r="C123" s="5" t="s">
        <v>752</v>
      </c>
      <c r="D123" s="5" t="s">
        <v>67</v>
      </c>
      <c r="E123" s="5" t="s">
        <v>67</v>
      </c>
      <c r="F123" s="5" t="s">
        <v>68</v>
      </c>
      <c r="G123" s="5" t="s">
        <v>335</v>
      </c>
      <c r="H123" s="5" t="s">
        <v>753</v>
      </c>
      <c r="I123" s="7">
        <v>2084</v>
      </c>
      <c r="J123" s="7">
        <v>980</v>
      </c>
      <c r="K123" s="11">
        <f>IF(I123="","",I123/Config!$B$2*100)</f>
        <v>40.703125</v>
      </c>
      <c r="L123" s="11">
        <f>IF(J123="","",J123/Config!$B$3*100)</f>
        <v>34.027777777777779</v>
      </c>
      <c r="M123" s="5">
        <v>12</v>
      </c>
      <c r="N123" s="6" t="b">
        <v>1</v>
      </c>
      <c r="O123" s="6" t="b">
        <v>0</v>
      </c>
      <c r="P123" s="6" t="b">
        <v>0</v>
      </c>
      <c r="Q123" s="5"/>
      <c r="R123" s="5"/>
    </row>
    <row r="124" spans="1:18" ht="15">
      <c r="A124" s="5" t="str">
        <f t="shared" si="1"/>
        <v>완료</v>
      </c>
      <c r="B124" s="5">
        <v>123</v>
      </c>
      <c r="C124" s="5" t="s">
        <v>754</v>
      </c>
      <c r="D124" s="5" t="s">
        <v>95</v>
      </c>
      <c r="E124" s="5" t="s">
        <v>95</v>
      </c>
      <c r="F124" s="5" t="s">
        <v>96</v>
      </c>
      <c r="G124" s="5" t="s">
        <v>335</v>
      </c>
      <c r="H124" s="5" t="s">
        <v>753</v>
      </c>
      <c r="I124" s="7">
        <v>2200</v>
      </c>
      <c r="J124" s="7">
        <v>1144</v>
      </c>
      <c r="K124" s="11">
        <f>IF(I124="","",I124/Config!$B$2*100)</f>
        <v>42.96875</v>
      </c>
      <c r="L124" s="11">
        <f>IF(J124="","",J124/Config!$B$3*100)</f>
        <v>39.722222222222221</v>
      </c>
      <c r="M124" s="5">
        <v>12</v>
      </c>
      <c r="N124" s="6" t="b">
        <v>1</v>
      </c>
      <c r="O124" s="6" t="b">
        <v>0</v>
      </c>
      <c r="P124" s="6" t="b">
        <v>0</v>
      </c>
      <c r="Q124" s="5"/>
      <c r="R124" s="5"/>
    </row>
    <row r="125" spans="1:18" ht="15">
      <c r="A125" s="5" t="str">
        <f t="shared" si="1"/>
        <v>완료</v>
      </c>
      <c r="B125" s="5">
        <v>124</v>
      </c>
      <c r="C125" s="5" t="s">
        <v>755</v>
      </c>
      <c r="D125" s="5" t="s">
        <v>99</v>
      </c>
      <c r="E125" s="5" t="s">
        <v>99</v>
      </c>
      <c r="F125" s="5" t="s">
        <v>100</v>
      </c>
      <c r="G125" s="5" t="s">
        <v>335</v>
      </c>
      <c r="H125" s="5" t="s">
        <v>753</v>
      </c>
      <c r="I125" s="7">
        <v>2328</v>
      </c>
      <c r="J125" s="7">
        <v>1144</v>
      </c>
      <c r="K125" s="11">
        <f>IF(I125="","",I125/Config!$B$2*100)</f>
        <v>45.46875</v>
      </c>
      <c r="L125" s="11">
        <f>IF(J125="","",J125/Config!$B$3*100)</f>
        <v>39.722222222222221</v>
      </c>
      <c r="M125" s="5">
        <v>12</v>
      </c>
      <c r="N125" s="6" t="b">
        <v>1</v>
      </c>
      <c r="O125" s="6" t="b">
        <v>0</v>
      </c>
      <c r="P125" s="6" t="b">
        <v>0</v>
      </c>
      <c r="Q125" s="5" t="s">
        <v>103</v>
      </c>
      <c r="R125" s="5"/>
    </row>
    <row r="126" spans="1:18" ht="15">
      <c r="A126" s="5" t="str">
        <f t="shared" si="1"/>
        <v>완료</v>
      </c>
      <c r="B126" s="5">
        <v>125</v>
      </c>
      <c r="C126" s="5" t="s">
        <v>756</v>
      </c>
      <c r="D126" s="5" t="s">
        <v>110</v>
      </c>
      <c r="E126" s="5" t="s">
        <v>110</v>
      </c>
      <c r="F126" s="5" t="s">
        <v>111</v>
      </c>
      <c r="G126" s="5" t="s">
        <v>335</v>
      </c>
      <c r="H126" s="5" t="s">
        <v>753</v>
      </c>
      <c r="I126" s="7">
        <v>2740</v>
      </c>
      <c r="J126" s="7">
        <v>1144</v>
      </c>
      <c r="K126" s="11">
        <f>IF(I126="","",I126/Config!$B$2*100)</f>
        <v>53.515625</v>
      </c>
      <c r="L126" s="11">
        <f>IF(J126="","",J126/Config!$B$3*100)</f>
        <v>39.722222222222221</v>
      </c>
      <c r="M126" s="5">
        <v>12</v>
      </c>
      <c r="N126" s="6" t="b">
        <v>1</v>
      </c>
      <c r="O126" s="6" t="b">
        <v>0</v>
      </c>
      <c r="P126" s="6" t="b">
        <v>0</v>
      </c>
      <c r="Q126" s="5"/>
      <c r="R126" s="5"/>
    </row>
    <row r="127" spans="1:18" ht="15">
      <c r="A127" s="5" t="str">
        <f t="shared" si="1"/>
        <v>완료</v>
      </c>
      <c r="B127" s="5">
        <v>126</v>
      </c>
      <c r="C127" s="5" t="s">
        <v>757</v>
      </c>
      <c r="D127" s="5" t="s">
        <v>174</v>
      </c>
      <c r="E127" s="5" t="s">
        <v>174</v>
      </c>
      <c r="F127" s="5" t="s">
        <v>175</v>
      </c>
      <c r="G127" s="5" t="s">
        <v>335</v>
      </c>
      <c r="H127" s="5" t="s">
        <v>753</v>
      </c>
      <c r="I127" s="7">
        <v>1424</v>
      </c>
      <c r="J127" s="7">
        <v>1660</v>
      </c>
      <c r="K127" s="11">
        <f>IF(I127="","",I127/Config!$B$2*100)</f>
        <v>27.8125</v>
      </c>
      <c r="L127" s="11">
        <f>IF(J127="","",J127/Config!$B$3*100)</f>
        <v>57.638888888888886</v>
      </c>
      <c r="M127" s="5">
        <v>12</v>
      </c>
      <c r="N127" s="6" t="b">
        <v>1</v>
      </c>
      <c r="O127" s="6" t="b">
        <v>0</v>
      </c>
      <c r="P127" s="6" t="b">
        <v>0</v>
      </c>
      <c r="Q127" s="5"/>
      <c r="R127" s="5"/>
    </row>
    <row r="128" spans="1:18" ht="15">
      <c r="A128" s="5" t="str">
        <f t="shared" si="1"/>
        <v>완료</v>
      </c>
      <c r="B128" s="5">
        <v>127</v>
      </c>
      <c r="C128" s="5" t="s">
        <v>758</v>
      </c>
      <c r="D128" s="5" t="s">
        <v>188</v>
      </c>
      <c r="E128" s="5" t="s">
        <v>188</v>
      </c>
      <c r="F128" s="5" t="s">
        <v>189</v>
      </c>
      <c r="G128" s="5" t="s">
        <v>335</v>
      </c>
      <c r="H128" s="5" t="s">
        <v>753</v>
      </c>
      <c r="I128" s="7">
        <v>1752</v>
      </c>
      <c r="J128" s="7">
        <v>1144</v>
      </c>
      <c r="K128" s="11">
        <f>IF(I128="","",I128/Config!$B$2*100)</f>
        <v>34.21875</v>
      </c>
      <c r="L128" s="11">
        <f>IF(J128="","",J128/Config!$B$3*100)</f>
        <v>39.722222222222221</v>
      </c>
      <c r="M128" s="5">
        <v>12</v>
      </c>
      <c r="N128" s="6" t="b">
        <v>1</v>
      </c>
      <c r="O128" s="6" t="b">
        <v>0</v>
      </c>
      <c r="P128" s="6" t="b">
        <v>0</v>
      </c>
      <c r="Q128" s="5"/>
      <c r="R128" s="5"/>
    </row>
    <row r="129" spans="1:18" ht="15">
      <c r="A129" s="5" t="str">
        <f t="shared" si="1"/>
        <v>완료</v>
      </c>
      <c r="B129" s="5">
        <v>128</v>
      </c>
      <c r="C129" s="5" t="s">
        <v>759</v>
      </c>
      <c r="D129" s="5" t="s">
        <v>204</v>
      </c>
      <c r="E129" s="5" t="s">
        <v>204</v>
      </c>
      <c r="F129" s="5" t="s">
        <v>205</v>
      </c>
      <c r="G129" s="5" t="s">
        <v>335</v>
      </c>
      <c r="H129" s="5" t="s">
        <v>753</v>
      </c>
      <c r="I129" s="7">
        <v>1108</v>
      </c>
      <c r="J129" s="7">
        <v>1348</v>
      </c>
      <c r="K129" s="11">
        <f>IF(I129="","",I129/Config!$B$2*100)</f>
        <v>21.640625</v>
      </c>
      <c r="L129" s="11">
        <f>IF(J129="","",J129/Config!$B$3*100)</f>
        <v>46.805555555555557</v>
      </c>
      <c r="M129" s="5">
        <v>12</v>
      </c>
      <c r="N129" s="6" t="b">
        <v>1</v>
      </c>
      <c r="O129" s="6" t="b">
        <v>0</v>
      </c>
      <c r="P129" s="6" t="b">
        <v>0</v>
      </c>
      <c r="Q129" s="5"/>
      <c r="R129" s="5"/>
    </row>
    <row r="130" spans="1:18" ht="15">
      <c r="A130" s="5" t="str">
        <f t="shared" ref="A130:A193" si="2">IF(OR(I130="",J130=""),"미작업","완료")</f>
        <v>완료</v>
      </c>
      <c r="B130" s="5">
        <v>129</v>
      </c>
      <c r="C130" s="5" t="s">
        <v>760</v>
      </c>
      <c r="D130" s="5" t="s">
        <v>278</v>
      </c>
      <c r="E130" s="5" t="s">
        <v>278</v>
      </c>
      <c r="F130" s="5" t="s">
        <v>279</v>
      </c>
      <c r="G130" s="5" t="s">
        <v>335</v>
      </c>
      <c r="H130" s="5" t="s">
        <v>761</v>
      </c>
      <c r="I130" s="7">
        <v>3696</v>
      </c>
      <c r="J130" s="7">
        <v>1992</v>
      </c>
      <c r="K130" s="11">
        <f>IF(I130="","",I130/Config!$B$2*100)</f>
        <v>72.1875</v>
      </c>
      <c r="L130" s="11">
        <f>IF(J130="","",J130/Config!$B$3*100)</f>
        <v>69.166666666666671</v>
      </c>
      <c r="M130" s="5">
        <v>12</v>
      </c>
      <c r="N130" s="6" t="b">
        <v>1</v>
      </c>
      <c r="O130" s="6" t="b">
        <v>0</v>
      </c>
      <c r="P130" s="6" t="b">
        <v>0</v>
      </c>
      <c r="Q130" s="5"/>
      <c r="R130" s="5"/>
    </row>
    <row r="131" spans="1:18" ht="15">
      <c r="A131" s="5" t="str">
        <f t="shared" si="2"/>
        <v>완료</v>
      </c>
      <c r="B131" s="5">
        <v>130</v>
      </c>
      <c r="C131" s="5" t="s">
        <v>762</v>
      </c>
      <c r="D131" s="5" t="s">
        <v>333</v>
      </c>
      <c r="E131" s="5" t="s">
        <v>333</v>
      </c>
      <c r="F131" s="5" t="s">
        <v>334</v>
      </c>
      <c r="G131" s="5" t="s">
        <v>335</v>
      </c>
      <c r="H131" s="5" t="s">
        <v>753</v>
      </c>
      <c r="I131" s="7">
        <v>788</v>
      </c>
      <c r="J131" s="7">
        <v>828</v>
      </c>
      <c r="K131" s="11">
        <f>IF(I131="","",I131/Config!$B$2*100)</f>
        <v>15.390625</v>
      </c>
      <c r="L131" s="11">
        <f>IF(J131="","",J131/Config!$B$3*100)</f>
        <v>28.749999999999996</v>
      </c>
      <c r="M131" s="5">
        <v>10</v>
      </c>
      <c r="N131" s="6" t="b">
        <v>0</v>
      </c>
      <c r="O131" s="6" t="b">
        <v>1</v>
      </c>
      <c r="P131" s="6" t="b">
        <v>1</v>
      </c>
      <c r="Q131" s="5"/>
      <c r="R131" s="5"/>
    </row>
    <row r="132" spans="1:18" ht="15">
      <c r="A132" s="5" t="str">
        <f t="shared" si="2"/>
        <v>완료</v>
      </c>
      <c r="B132" s="5">
        <v>131</v>
      </c>
      <c r="C132" s="5" t="s">
        <v>763</v>
      </c>
      <c r="D132" s="5" t="s">
        <v>337</v>
      </c>
      <c r="E132" s="5" t="s">
        <v>337</v>
      </c>
      <c r="F132" s="5" t="s">
        <v>338</v>
      </c>
      <c r="G132" s="5" t="s">
        <v>335</v>
      </c>
      <c r="H132" s="5" t="s">
        <v>753</v>
      </c>
      <c r="I132" s="7">
        <v>788</v>
      </c>
      <c r="J132" s="7">
        <v>900</v>
      </c>
      <c r="K132" s="11">
        <f>IF(I132="","",I132/Config!$B$2*100)</f>
        <v>15.390625</v>
      </c>
      <c r="L132" s="11">
        <f>IF(J132="","",J132/Config!$B$3*100)</f>
        <v>31.25</v>
      </c>
      <c r="M132" s="5">
        <v>10</v>
      </c>
      <c r="N132" s="6" t="b">
        <v>0</v>
      </c>
      <c r="O132" s="6" t="b">
        <v>0</v>
      </c>
      <c r="P132" s="6" t="b">
        <v>1</v>
      </c>
      <c r="Q132" s="5"/>
      <c r="R132" s="5"/>
    </row>
    <row r="133" spans="1:18" ht="15">
      <c r="A133" s="5" t="str">
        <f t="shared" si="2"/>
        <v>완료</v>
      </c>
      <c r="B133" s="5">
        <v>132</v>
      </c>
      <c r="C133" s="5" t="s">
        <v>764</v>
      </c>
      <c r="D133" s="5" t="s">
        <v>339</v>
      </c>
      <c r="E133" s="5" t="s">
        <v>339</v>
      </c>
      <c r="F133" s="5" t="s">
        <v>340</v>
      </c>
      <c r="G133" s="5" t="s">
        <v>335</v>
      </c>
      <c r="H133" s="5" t="s">
        <v>753</v>
      </c>
      <c r="I133" s="7">
        <v>788</v>
      </c>
      <c r="J133" s="7">
        <v>972</v>
      </c>
      <c r="K133" s="11">
        <f>IF(I133="","",I133/Config!$B$2*100)</f>
        <v>15.390625</v>
      </c>
      <c r="L133" s="11">
        <f>IF(J133="","",J133/Config!$B$3*100)</f>
        <v>33.75</v>
      </c>
      <c r="M133" s="5">
        <v>10</v>
      </c>
      <c r="N133" s="6" t="b">
        <v>0</v>
      </c>
      <c r="O133" s="6" t="b">
        <v>0</v>
      </c>
      <c r="P133" s="6" t="b">
        <v>1</v>
      </c>
      <c r="Q133" s="5"/>
      <c r="R133" s="5"/>
    </row>
    <row r="134" spans="1:18" ht="15">
      <c r="A134" s="5" t="str">
        <f t="shared" si="2"/>
        <v>완료</v>
      </c>
      <c r="B134" s="5">
        <v>133</v>
      </c>
      <c r="C134" s="5" t="s">
        <v>765</v>
      </c>
      <c r="D134" s="5" t="s">
        <v>341</v>
      </c>
      <c r="E134" s="5" t="s">
        <v>341</v>
      </c>
      <c r="F134" s="5" t="s">
        <v>342</v>
      </c>
      <c r="G134" s="5" t="s">
        <v>335</v>
      </c>
      <c r="H134" s="5" t="s">
        <v>753</v>
      </c>
      <c r="I134" s="7">
        <v>828</v>
      </c>
      <c r="J134" s="7">
        <v>1066</v>
      </c>
      <c r="K134" s="11">
        <f>IF(I134="","",I134/Config!$B$2*100)</f>
        <v>16.171875</v>
      </c>
      <c r="L134" s="11">
        <f>IF(J134="","",J134/Config!$B$3*100)</f>
        <v>37.013888888888893</v>
      </c>
      <c r="M134" s="5">
        <v>10</v>
      </c>
      <c r="N134" s="6" t="b">
        <v>0</v>
      </c>
      <c r="O134" s="6" t="b">
        <v>0</v>
      </c>
      <c r="P134" s="6" t="b">
        <v>1</v>
      </c>
      <c r="Q134" s="5"/>
      <c r="R134" s="5"/>
    </row>
    <row r="135" spans="1:18" ht="15">
      <c r="A135" s="5" t="str">
        <f t="shared" si="2"/>
        <v>완료</v>
      </c>
      <c r="B135" s="5">
        <v>134</v>
      </c>
      <c r="C135" s="5" t="s">
        <v>766</v>
      </c>
      <c r="D135" s="5" t="s">
        <v>343</v>
      </c>
      <c r="E135" s="5" t="s">
        <v>343</v>
      </c>
      <c r="F135" s="5" t="s">
        <v>344</v>
      </c>
      <c r="G135" s="5" t="s">
        <v>335</v>
      </c>
      <c r="H135" s="5" t="s">
        <v>753</v>
      </c>
      <c r="I135" s="7">
        <v>880</v>
      </c>
      <c r="J135" s="7">
        <v>1120</v>
      </c>
      <c r="K135" s="11">
        <f>IF(I135="","",I135/Config!$B$2*100)</f>
        <v>17.1875</v>
      </c>
      <c r="L135" s="11">
        <f>IF(J135="","",J135/Config!$B$3*100)</f>
        <v>38.888888888888893</v>
      </c>
      <c r="M135" s="5">
        <v>10</v>
      </c>
      <c r="N135" s="6" t="b">
        <v>0</v>
      </c>
      <c r="O135" s="6" t="b">
        <v>0</v>
      </c>
      <c r="P135" s="6" t="b">
        <v>1</v>
      </c>
      <c r="Q135" s="5"/>
      <c r="R135" s="5"/>
    </row>
    <row r="136" spans="1:18" ht="15">
      <c r="A136" s="5" t="str">
        <f t="shared" si="2"/>
        <v>완료</v>
      </c>
      <c r="B136" s="5">
        <v>135</v>
      </c>
      <c r="C136" s="5" t="s">
        <v>767</v>
      </c>
      <c r="D136" s="5" t="s">
        <v>345</v>
      </c>
      <c r="E136" s="5" t="s">
        <v>345</v>
      </c>
      <c r="F136" s="5" t="s">
        <v>346</v>
      </c>
      <c r="G136" s="5" t="s">
        <v>335</v>
      </c>
      <c r="H136" s="5" t="s">
        <v>753</v>
      </c>
      <c r="I136" s="7">
        <v>938</v>
      </c>
      <c r="J136" s="7">
        <v>1176</v>
      </c>
      <c r="K136" s="11">
        <f>IF(I136="","",I136/Config!$B$2*100)</f>
        <v>18.3203125</v>
      </c>
      <c r="L136" s="11">
        <f>IF(J136="","",J136/Config!$B$3*100)</f>
        <v>40.833333333333336</v>
      </c>
      <c r="M136" s="5">
        <v>10</v>
      </c>
      <c r="N136" s="6" t="b">
        <v>0</v>
      </c>
      <c r="O136" s="6" t="b">
        <v>0</v>
      </c>
      <c r="P136" s="6" t="b">
        <v>1</v>
      </c>
      <c r="Q136" s="5"/>
      <c r="R136" s="5"/>
    </row>
    <row r="137" spans="1:18" ht="15">
      <c r="A137" s="5" t="str">
        <f t="shared" si="2"/>
        <v>완료</v>
      </c>
      <c r="B137" s="5">
        <v>136</v>
      </c>
      <c r="C137" s="5" t="s">
        <v>768</v>
      </c>
      <c r="D137" s="5" t="s">
        <v>347</v>
      </c>
      <c r="E137" s="5" t="s">
        <v>347</v>
      </c>
      <c r="F137" s="5" t="s">
        <v>348</v>
      </c>
      <c r="G137" s="5" t="s">
        <v>335</v>
      </c>
      <c r="H137" s="5" t="s">
        <v>753</v>
      </c>
      <c r="I137" s="7">
        <v>996</v>
      </c>
      <c r="J137" s="7">
        <v>1234</v>
      </c>
      <c r="K137" s="11">
        <f>IF(I137="","",I137/Config!$B$2*100)</f>
        <v>19.453125</v>
      </c>
      <c r="L137" s="11">
        <f>IF(J137="","",J137/Config!$B$3*100)</f>
        <v>42.847222222222221</v>
      </c>
      <c r="M137" s="5">
        <v>10</v>
      </c>
      <c r="N137" s="6" t="b">
        <v>0</v>
      </c>
      <c r="O137" s="6" t="b">
        <v>0</v>
      </c>
      <c r="P137" s="6" t="b">
        <v>1</v>
      </c>
      <c r="Q137" s="5"/>
      <c r="R137" s="5"/>
    </row>
    <row r="138" spans="1:18" ht="15">
      <c r="A138" s="5" t="str">
        <f t="shared" si="2"/>
        <v>완료</v>
      </c>
      <c r="B138" s="5">
        <v>137</v>
      </c>
      <c r="C138" s="5" t="s">
        <v>769</v>
      </c>
      <c r="D138" s="5" t="s">
        <v>349</v>
      </c>
      <c r="E138" s="5" t="s">
        <v>349</v>
      </c>
      <c r="F138" s="5" t="s">
        <v>350</v>
      </c>
      <c r="G138" s="5" t="s">
        <v>335</v>
      </c>
      <c r="H138" s="5" t="s">
        <v>753</v>
      </c>
      <c r="I138" s="7">
        <v>1054</v>
      </c>
      <c r="J138" s="7">
        <v>1296</v>
      </c>
      <c r="K138" s="11">
        <f>IF(I138="","",I138/Config!$B$2*100)</f>
        <v>20.5859375</v>
      </c>
      <c r="L138" s="11">
        <f>IF(J138="","",J138/Config!$B$3*100)</f>
        <v>45</v>
      </c>
      <c r="M138" s="5">
        <v>10</v>
      </c>
      <c r="N138" s="6" t="b">
        <v>0</v>
      </c>
      <c r="O138" s="6" t="b">
        <v>0</v>
      </c>
      <c r="P138" s="6" t="b">
        <v>1</v>
      </c>
      <c r="Q138" s="5"/>
      <c r="R138" s="5"/>
    </row>
    <row r="139" spans="1:18" ht="15">
      <c r="A139" s="5" t="str">
        <f t="shared" si="2"/>
        <v>완료</v>
      </c>
      <c r="B139" s="5">
        <v>138</v>
      </c>
      <c r="C139" s="5" t="s">
        <v>770</v>
      </c>
      <c r="D139" s="5" t="s">
        <v>351</v>
      </c>
      <c r="E139" s="5" t="s">
        <v>351</v>
      </c>
      <c r="F139" s="5" t="s">
        <v>352</v>
      </c>
      <c r="G139" s="5" t="s">
        <v>335</v>
      </c>
      <c r="H139" s="5" t="s">
        <v>753</v>
      </c>
      <c r="I139" s="7">
        <v>1180</v>
      </c>
      <c r="J139" s="7">
        <v>1420</v>
      </c>
      <c r="K139" s="11">
        <f>IF(I139="","",I139/Config!$B$2*100)</f>
        <v>23.046875</v>
      </c>
      <c r="L139" s="11">
        <f>IF(J139="","",J139/Config!$B$3*100)</f>
        <v>49.305555555555557</v>
      </c>
      <c r="M139" s="5">
        <v>10</v>
      </c>
      <c r="N139" s="6" t="b">
        <v>0</v>
      </c>
      <c r="O139" s="6" t="b">
        <v>0</v>
      </c>
      <c r="P139" s="6" t="b">
        <v>1</v>
      </c>
      <c r="Q139" s="5"/>
      <c r="R139" s="5"/>
    </row>
    <row r="140" spans="1:18" ht="15">
      <c r="A140" s="5" t="str">
        <f t="shared" si="2"/>
        <v>완료</v>
      </c>
      <c r="B140" s="5">
        <v>139</v>
      </c>
      <c r="C140" s="5" t="s">
        <v>771</v>
      </c>
      <c r="D140" s="5" t="s">
        <v>353</v>
      </c>
      <c r="E140" s="5" t="s">
        <v>353</v>
      </c>
      <c r="F140" s="5" t="s">
        <v>354</v>
      </c>
      <c r="G140" s="5" t="s">
        <v>335</v>
      </c>
      <c r="H140" s="5" t="s">
        <v>753</v>
      </c>
      <c r="I140" s="7">
        <v>1240</v>
      </c>
      <c r="J140" s="7">
        <v>1476</v>
      </c>
      <c r="K140" s="11">
        <f>IF(I140="","",I140/Config!$B$2*100)</f>
        <v>24.21875</v>
      </c>
      <c r="L140" s="11">
        <f>IF(J140="","",J140/Config!$B$3*100)</f>
        <v>51.249999999999993</v>
      </c>
      <c r="M140" s="5">
        <v>10</v>
      </c>
      <c r="N140" s="6" t="b">
        <v>0</v>
      </c>
      <c r="O140" s="6" t="b">
        <v>0</v>
      </c>
      <c r="P140" s="6" t="b">
        <v>1</v>
      </c>
      <c r="Q140" s="5"/>
      <c r="R140" s="5"/>
    </row>
    <row r="141" spans="1:18" ht="15">
      <c r="A141" s="5" t="str">
        <f t="shared" si="2"/>
        <v>완료</v>
      </c>
      <c r="B141" s="5">
        <v>140</v>
      </c>
      <c r="C141" s="5" t="s">
        <v>772</v>
      </c>
      <c r="D141" s="5" t="s">
        <v>355</v>
      </c>
      <c r="E141" s="5" t="s">
        <v>355</v>
      </c>
      <c r="F141" s="5" t="s">
        <v>356</v>
      </c>
      <c r="G141" s="5" t="s">
        <v>335</v>
      </c>
      <c r="H141" s="5" t="s">
        <v>753</v>
      </c>
      <c r="I141" s="7">
        <v>1296</v>
      </c>
      <c r="J141" s="7">
        <v>1536</v>
      </c>
      <c r="K141" s="11">
        <f>IF(I141="","",I141/Config!$B$2*100)</f>
        <v>25.3125</v>
      </c>
      <c r="L141" s="11">
        <f>IF(J141="","",J141/Config!$B$3*100)</f>
        <v>53.333333333333336</v>
      </c>
      <c r="M141" s="5">
        <v>10</v>
      </c>
      <c r="N141" s="6" t="b">
        <v>0</v>
      </c>
      <c r="O141" s="6" t="b">
        <v>0</v>
      </c>
      <c r="P141" s="6" t="b">
        <v>1</v>
      </c>
      <c r="Q141" s="5"/>
      <c r="R141" s="5"/>
    </row>
    <row r="142" spans="1:18" ht="15">
      <c r="A142" s="5" t="str">
        <f t="shared" si="2"/>
        <v>완료</v>
      </c>
      <c r="B142" s="5">
        <v>141</v>
      </c>
      <c r="C142" s="5" t="s">
        <v>773</v>
      </c>
      <c r="D142" s="5" t="s">
        <v>357</v>
      </c>
      <c r="E142" s="5" t="s">
        <v>357</v>
      </c>
      <c r="F142" s="5" t="s">
        <v>358</v>
      </c>
      <c r="G142" s="5" t="s">
        <v>335</v>
      </c>
      <c r="H142" s="5" t="s">
        <v>753</v>
      </c>
      <c r="I142" s="7">
        <v>1356</v>
      </c>
      <c r="J142" s="7">
        <v>1594</v>
      </c>
      <c r="K142" s="11">
        <f>IF(I142="","",I142/Config!$B$2*100)</f>
        <v>26.484375</v>
      </c>
      <c r="L142" s="11">
        <f>IF(J142="","",J142/Config!$B$3*100)</f>
        <v>55.347222222222229</v>
      </c>
      <c r="M142" s="5">
        <v>10</v>
      </c>
      <c r="N142" s="6" t="b">
        <v>0</v>
      </c>
      <c r="O142" s="6" t="b">
        <v>0</v>
      </c>
      <c r="P142" s="6" t="b">
        <v>1</v>
      </c>
      <c r="Q142" s="5"/>
      <c r="R142" s="5"/>
    </row>
    <row r="143" spans="1:18" ht="15">
      <c r="A143" s="5" t="str">
        <f t="shared" si="2"/>
        <v>완료</v>
      </c>
      <c r="B143" s="5">
        <v>142</v>
      </c>
      <c r="C143" s="5" t="s">
        <v>774</v>
      </c>
      <c r="D143" s="5" t="s">
        <v>359</v>
      </c>
      <c r="E143" s="5" t="s">
        <v>359</v>
      </c>
      <c r="F143" s="5" t="s">
        <v>360</v>
      </c>
      <c r="G143" s="5" t="s">
        <v>335</v>
      </c>
      <c r="H143" s="5" t="s">
        <v>753</v>
      </c>
      <c r="I143" s="7">
        <v>1504</v>
      </c>
      <c r="J143" s="7">
        <v>1740</v>
      </c>
      <c r="K143" s="11">
        <f>IF(I143="","",I143/Config!$B$2*100)</f>
        <v>29.375</v>
      </c>
      <c r="L143" s="11">
        <f>IF(J143="","",J143/Config!$B$3*100)</f>
        <v>60.416666666666664</v>
      </c>
      <c r="M143" s="5">
        <v>10</v>
      </c>
      <c r="N143" s="6" t="b">
        <v>0</v>
      </c>
      <c r="O143" s="6" t="b">
        <v>0</v>
      </c>
      <c r="P143" s="6" t="b">
        <v>1</v>
      </c>
      <c r="Q143" s="5"/>
      <c r="R143" s="5"/>
    </row>
    <row r="144" spans="1:18" ht="15">
      <c r="A144" s="5" t="str">
        <f t="shared" si="2"/>
        <v>완료</v>
      </c>
      <c r="B144" s="5">
        <v>143</v>
      </c>
      <c r="C144" s="5" t="s">
        <v>775</v>
      </c>
      <c r="D144" s="5" t="s">
        <v>361</v>
      </c>
      <c r="E144" s="5" t="s">
        <v>361</v>
      </c>
      <c r="F144" s="5" t="s">
        <v>362</v>
      </c>
      <c r="G144" s="5" t="s">
        <v>335</v>
      </c>
      <c r="H144" s="5" t="s">
        <v>753</v>
      </c>
      <c r="I144" s="7">
        <v>1600</v>
      </c>
      <c r="J144" s="7">
        <v>1832</v>
      </c>
      <c r="K144" s="11">
        <f>IF(I144="","",I144/Config!$B$2*100)</f>
        <v>31.25</v>
      </c>
      <c r="L144" s="11">
        <f>IF(J144="","",J144/Config!$B$3*100)</f>
        <v>63.611111111111107</v>
      </c>
      <c r="M144" s="5">
        <v>10</v>
      </c>
      <c r="N144" s="6" t="b">
        <v>0</v>
      </c>
      <c r="O144" s="6" t="b">
        <v>0</v>
      </c>
      <c r="P144" s="6" t="b">
        <v>1</v>
      </c>
      <c r="Q144" s="5"/>
      <c r="R144" s="5"/>
    </row>
    <row r="145" spans="1:18" ht="15">
      <c r="A145" s="5" t="str">
        <f t="shared" si="2"/>
        <v>완료</v>
      </c>
      <c r="B145" s="5">
        <v>144</v>
      </c>
      <c r="C145" s="5" t="s">
        <v>776</v>
      </c>
      <c r="D145" s="5" t="s">
        <v>363</v>
      </c>
      <c r="E145" s="5" t="s">
        <v>363</v>
      </c>
      <c r="F145" s="5" t="s">
        <v>364</v>
      </c>
      <c r="G145" s="5" t="s">
        <v>335</v>
      </c>
      <c r="H145" s="5" t="s">
        <v>753</v>
      </c>
      <c r="I145" s="7">
        <v>1684</v>
      </c>
      <c r="J145" s="7">
        <v>1750</v>
      </c>
      <c r="K145" s="11">
        <f>IF(I145="","",I145/Config!$B$2*100)</f>
        <v>32.890625</v>
      </c>
      <c r="L145" s="11">
        <f>IF(J145="","",J145/Config!$B$3*100)</f>
        <v>60.763888888888886</v>
      </c>
      <c r="M145" s="5">
        <v>10</v>
      </c>
      <c r="N145" s="6" t="b">
        <v>0</v>
      </c>
      <c r="O145" s="6" t="b">
        <v>0</v>
      </c>
      <c r="P145" s="6" t="b">
        <v>1</v>
      </c>
      <c r="Q145" s="5"/>
      <c r="R145" s="5"/>
    </row>
    <row r="146" spans="1:18" ht="15">
      <c r="A146" s="5" t="str">
        <f t="shared" si="2"/>
        <v>완료</v>
      </c>
      <c r="B146" s="5">
        <v>145</v>
      </c>
      <c r="C146" s="5" t="s">
        <v>777</v>
      </c>
      <c r="D146" s="5" t="s">
        <v>365</v>
      </c>
      <c r="E146" s="5" t="s">
        <v>365</v>
      </c>
      <c r="F146" s="5" t="s">
        <v>366</v>
      </c>
      <c r="G146" s="5" t="s">
        <v>335</v>
      </c>
      <c r="H146" s="5" t="s">
        <v>753</v>
      </c>
      <c r="I146" s="7">
        <v>1752</v>
      </c>
      <c r="J146" s="7">
        <v>1676</v>
      </c>
      <c r="K146" s="11">
        <f>IF(I146="","",I146/Config!$B$2*100)</f>
        <v>34.21875</v>
      </c>
      <c r="L146" s="11">
        <f>IF(J146="","",J146/Config!$B$3*100)</f>
        <v>58.19444444444445</v>
      </c>
      <c r="M146" s="5">
        <v>10</v>
      </c>
      <c r="N146" s="6" t="b">
        <v>0</v>
      </c>
      <c r="O146" s="6" t="b">
        <v>0</v>
      </c>
      <c r="P146" s="6" t="b">
        <v>1</v>
      </c>
      <c r="Q146" s="5"/>
      <c r="R146" s="5"/>
    </row>
    <row r="147" spans="1:18" ht="15">
      <c r="A147" s="5" t="str">
        <f t="shared" si="2"/>
        <v>완료</v>
      </c>
      <c r="B147" s="5">
        <v>146</v>
      </c>
      <c r="C147" s="5" t="s">
        <v>778</v>
      </c>
      <c r="D147" s="5" t="s">
        <v>367</v>
      </c>
      <c r="E147" s="5" t="s">
        <v>367</v>
      </c>
      <c r="F147" s="5" t="s">
        <v>368</v>
      </c>
      <c r="G147" s="5" t="s">
        <v>335</v>
      </c>
      <c r="H147" s="5" t="s">
        <v>753</v>
      </c>
      <c r="I147" s="7">
        <v>1752</v>
      </c>
      <c r="J147" s="7">
        <v>1576</v>
      </c>
      <c r="K147" s="11">
        <f>IF(I147="","",I147/Config!$B$2*100)</f>
        <v>34.21875</v>
      </c>
      <c r="L147" s="11">
        <f>IF(J147="","",J147/Config!$B$3*100)</f>
        <v>54.722222222222229</v>
      </c>
      <c r="M147" s="5">
        <v>10</v>
      </c>
      <c r="N147" s="6" t="b">
        <v>0</v>
      </c>
      <c r="O147" s="6" t="b">
        <v>0</v>
      </c>
      <c r="P147" s="6" t="b">
        <v>1</v>
      </c>
      <c r="Q147" s="5"/>
      <c r="R147" s="5"/>
    </row>
    <row r="148" spans="1:18" ht="15">
      <c r="A148" s="5" t="str">
        <f t="shared" si="2"/>
        <v>완료</v>
      </c>
      <c r="B148" s="5">
        <v>147</v>
      </c>
      <c r="C148" s="5" t="s">
        <v>779</v>
      </c>
      <c r="D148" s="5" t="s">
        <v>369</v>
      </c>
      <c r="E148" s="5" t="s">
        <v>369</v>
      </c>
      <c r="F148" s="5" t="s">
        <v>370</v>
      </c>
      <c r="G148" s="5" t="s">
        <v>335</v>
      </c>
      <c r="H148" s="5" t="s">
        <v>753</v>
      </c>
      <c r="I148" s="7">
        <v>1752</v>
      </c>
      <c r="J148" s="7">
        <v>1476</v>
      </c>
      <c r="K148" s="11">
        <f>IF(I148="","",I148/Config!$B$2*100)</f>
        <v>34.21875</v>
      </c>
      <c r="L148" s="11">
        <f>IF(J148="","",J148/Config!$B$3*100)</f>
        <v>51.249999999999993</v>
      </c>
      <c r="M148" s="5">
        <v>12</v>
      </c>
      <c r="N148" s="6" t="b">
        <v>1</v>
      </c>
      <c r="O148" s="6" t="b">
        <v>0</v>
      </c>
      <c r="P148" s="6" t="b">
        <v>1</v>
      </c>
      <c r="Q148" s="5"/>
      <c r="R148" s="5"/>
    </row>
    <row r="149" spans="1:18" ht="15">
      <c r="A149" s="5" t="str">
        <f t="shared" si="2"/>
        <v>완료</v>
      </c>
      <c r="B149" s="5">
        <v>148</v>
      </c>
      <c r="C149" s="5" t="s">
        <v>780</v>
      </c>
      <c r="D149" s="5" t="s">
        <v>373</v>
      </c>
      <c r="E149" s="5" t="s">
        <v>373</v>
      </c>
      <c r="F149" s="5" t="s">
        <v>374</v>
      </c>
      <c r="G149" s="5" t="s">
        <v>335</v>
      </c>
      <c r="H149" s="5" t="s">
        <v>753</v>
      </c>
      <c r="I149" s="7">
        <v>1752</v>
      </c>
      <c r="J149" s="7">
        <v>1308</v>
      </c>
      <c r="K149" s="11">
        <f>IF(I149="","",I149/Config!$B$2*100)</f>
        <v>34.21875</v>
      </c>
      <c r="L149" s="11">
        <f>IF(J149="","",J149/Config!$B$3*100)</f>
        <v>45.416666666666664</v>
      </c>
      <c r="M149" s="5">
        <v>10</v>
      </c>
      <c r="N149" s="6" t="b">
        <v>0</v>
      </c>
      <c r="O149" s="6" t="b">
        <v>0</v>
      </c>
      <c r="P149" s="6" t="b">
        <v>1</v>
      </c>
      <c r="Q149" s="5"/>
      <c r="R149" s="5"/>
    </row>
    <row r="150" spans="1:18" ht="15">
      <c r="A150" s="5" t="str">
        <f t="shared" si="2"/>
        <v>완료</v>
      </c>
      <c r="B150" s="5">
        <v>149</v>
      </c>
      <c r="C150" s="5" t="s">
        <v>781</v>
      </c>
      <c r="D150" s="5" t="s">
        <v>375</v>
      </c>
      <c r="E150" s="5" t="s">
        <v>375</v>
      </c>
      <c r="F150" s="5" t="s">
        <v>376</v>
      </c>
      <c r="G150" s="5" t="s">
        <v>335</v>
      </c>
      <c r="H150" s="5" t="s">
        <v>753</v>
      </c>
      <c r="I150" s="7">
        <v>1752</v>
      </c>
      <c r="J150" s="7">
        <v>980</v>
      </c>
      <c r="K150" s="11">
        <f>IF(I150="","",I150/Config!$B$2*100)</f>
        <v>34.21875</v>
      </c>
      <c r="L150" s="11">
        <f>IF(J150="","",J150/Config!$B$3*100)</f>
        <v>34.027777777777779</v>
      </c>
      <c r="M150" s="5">
        <v>10</v>
      </c>
      <c r="N150" s="6" t="b">
        <v>0</v>
      </c>
      <c r="O150" s="6" t="b">
        <v>0</v>
      </c>
      <c r="P150" s="6" t="b">
        <v>1</v>
      </c>
      <c r="Q150" s="5"/>
      <c r="R150" s="5"/>
    </row>
    <row r="151" spans="1:18" ht="15">
      <c r="A151" s="5" t="str">
        <f t="shared" si="2"/>
        <v>완료</v>
      </c>
      <c r="B151" s="5">
        <v>150</v>
      </c>
      <c r="C151" s="5" t="s">
        <v>782</v>
      </c>
      <c r="D151" s="5" t="s">
        <v>377</v>
      </c>
      <c r="E151" s="5" t="s">
        <v>377</v>
      </c>
      <c r="F151" s="5" t="s">
        <v>378</v>
      </c>
      <c r="G151" s="5" t="s">
        <v>335</v>
      </c>
      <c r="H151" s="5" t="s">
        <v>753</v>
      </c>
      <c r="I151" s="7">
        <v>1916</v>
      </c>
      <c r="J151" s="7">
        <v>980</v>
      </c>
      <c r="K151" s="11">
        <f>IF(I151="","",I151/Config!$B$2*100)</f>
        <v>37.421875</v>
      </c>
      <c r="L151" s="11">
        <f>IF(J151="","",J151/Config!$B$3*100)</f>
        <v>34.027777777777779</v>
      </c>
      <c r="M151" s="5">
        <v>10</v>
      </c>
      <c r="N151" s="6" t="b">
        <v>0</v>
      </c>
      <c r="O151" s="6" t="b">
        <v>0</v>
      </c>
      <c r="P151" s="6" t="b">
        <v>1</v>
      </c>
      <c r="Q151" s="5" t="s">
        <v>379</v>
      </c>
      <c r="R151" s="5"/>
    </row>
    <row r="152" spans="1:18" ht="15">
      <c r="A152" s="5" t="str">
        <f t="shared" si="2"/>
        <v>완료</v>
      </c>
      <c r="B152" s="5">
        <v>151</v>
      </c>
      <c r="C152" s="5" t="s">
        <v>783</v>
      </c>
      <c r="D152" s="5" t="s">
        <v>380</v>
      </c>
      <c r="E152" s="5" t="s">
        <v>380</v>
      </c>
      <c r="F152" s="5" t="s">
        <v>381</v>
      </c>
      <c r="G152" s="5" t="s">
        <v>335</v>
      </c>
      <c r="H152" s="5" t="s">
        <v>753</v>
      </c>
      <c r="I152" s="7">
        <v>2528</v>
      </c>
      <c r="J152" s="7">
        <v>1244</v>
      </c>
      <c r="K152" s="11">
        <f>IF(I152="","",I152/Config!$B$2*100)</f>
        <v>49.375</v>
      </c>
      <c r="L152" s="11">
        <f>IF(J152="","",J152/Config!$B$3*100)</f>
        <v>43.194444444444443</v>
      </c>
      <c r="M152" s="5">
        <v>12</v>
      </c>
      <c r="N152" s="6" t="b">
        <v>1</v>
      </c>
      <c r="O152" s="6" t="b">
        <v>0</v>
      </c>
      <c r="P152" s="6" t="b">
        <v>1</v>
      </c>
      <c r="Q152" s="5"/>
      <c r="R152" s="5"/>
    </row>
    <row r="153" spans="1:18" ht="15">
      <c r="A153" s="5" t="str">
        <f t="shared" si="2"/>
        <v>완료</v>
      </c>
      <c r="B153" s="5">
        <v>152</v>
      </c>
      <c r="C153" s="5" t="s">
        <v>784</v>
      </c>
      <c r="D153" s="5" t="s">
        <v>382</v>
      </c>
      <c r="E153" s="5" t="s">
        <v>382</v>
      </c>
      <c r="F153" s="5" t="s">
        <v>383</v>
      </c>
      <c r="G153" s="5" t="s">
        <v>335</v>
      </c>
      <c r="H153" s="5" t="s">
        <v>753</v>
      </c>
      <c r="I153" s="7">
        <v>2628</v>
      </c>
      <c r="J153" s="7">
        <v>1344</v>
      </c>
      <c r="K153" s="11">
        <f>IF(I153="","",I153/Config!$B$2*100)</f>
        <v>51.328125</v>
      </c>
      <c r="L153" s="11">
        <f>IF(J153="","",J153/Config!$B$3*100)</f>
        <v>46.666666666666664</v>
      </c>
      <c r="M153" s="5">
        <v>10</v>
      </c>
      <c r="N153" s="6" t="b">
        <v>0</v>
      </c>
      <c r="O153" s="6" t="b">
        <v>0</v>
      </c>
      <c r="P153" s="6" t="b">
        <v>1</v>
      </c>
      <c r="Q153" s="5"/>
      <c r="R153" s="5"/>
    </row>
    <row r="154" spans="1:18" ht="15">
      <c r="A154" s="5" t="str">
        <f t="shared" si="2"/>
        <v>완료</v>
      </c>
      <c r="B154" s="5">
        <v>153</v>
      </c>
      <c r="C154" s="5" t="s">
        <v>785</v>
      </c>
      <c r="D154" s="5" t="s">
        <v>384</v>
      </c>
      <c r="E154" s="5" t="s">
        <v>384</v>
      </c>
      <c r="F154" s="5" t="s">
        <v>385</v>
      </c>
      <c r="G154" s="5" t="s">
        <v>335</v>
      </c>
      <c r="H154" s="5" t="s">
        <v>753</v>
      </c>
      <c r="I154" s="7">
        <v>2740</v>
      </c>
      <c r="J154" s="7">
        <v>1244</v>
      </c>
      <c r="K154" s="11">
        <f>IF(I154="","",I154/Config!$B$2*100)</f>
        <v>53.515625</v>
      </c>
      <c r="L154" s="11">
        <f>IF(J154="","",J154/Config!$B$3*100)</f>
        <v>43.194444444444443</v>
      </c>
      <c r="M154" s="5">
        <v>10</v>
      </c>
      <c r="N154" s="6" t="b">
        <v>0</v>
      </c>
      <c r="O154" s="6" t="b">
        <v>0</v>
      </c>
      <c r="P154" s="6" t="b">
        <v>1</v>
      </c>
      <c r="Q154" s="5"/>
      <c r="R154" s="5"/>
    </row>
    <row r="155" spans="1:18" ht="15">
      <c r="A155" s="5" t="str">
        <f t="shared" si="2"/>
        <v>완료</v>
      </c>
      <c r="B155" s="5">
        <v>154</v>
      </c>
      <c r="C155" s="5" t="s">
        <v>786</v>
      </c>
      <c r="D155" s="5" t="s">
        <v>386</v>
      </c>
      <c r="E155" s="5" t="s">
        <v>386</v>
      </c>
      <c r="F155" s="5" t="s">
        <v>387</v>
      </c>
      <c r="G155" s="5" t="s">
        <v>335</v>
      </c>
      <c r="H155" s="5" t="s">
        <v>753</v>
      </c>
      <c r="I155" s="7">
        <v>2884</v>
      </c>
      <c r="J155" s="7">
        <v>1144</v>
      </c>
      <c r="K155" s="11">
        <f>IF(I155="","",I155/Config!$B$2*100)</f>
        <v>56.328124999999993</v>
      </c>
      <c r="L155" s="11">
        <f>IF(J155="","",J155/Config!$B$3*100)</f>
        <v>39.722222222222221</v>
      </c>
      <c r="M155" s="5">
        <v>10</v>
      </c>
      <c r="N155" s="6" t="b">
        <v>0</v>
      </c>
      <c r="O155" s="6" t="b">
        <v>0</v>
      </c>
      <c r="P155" s="6" t="b">
        <v>1</v>
      </c>
      <c r="Q155" s="5"/>
      <c r="R155" s="5"/>
    </row>
    <row r="156" spans="1:18" ht="15">
      <c r="A156" s="5" t="str">
        <f t="shared" si="2"/>
        <v>완료</v>
      </c>
      <c r="B156" s="5">
        <v>155</v>
      </c>
      <c r="C156" s="5" t="s">
        <v>787</v>
      </c>
      <c r="D156" s="5" t="s">
        <v>388</v>
      </c>
      <c r="E156" s="5" t="s">
        <v>388</v>
      </c>
      <c r="F156" s="5" t="s">
        <v>389</v>
      </c>
      <c r="G156" s="5" t="s">
        <v>335</v>
      </c>
      <c r="H156" s="5" t="s">
        <v>753</v>
      </c>
      <c r="I156" s="7">
        <v>3084</v>
      </c>
      <c r="J156" s="7">
        <v>1144</v>
      </c>
      <c r="K156" s="11">
        <f>IF(I156="","",I156/Config!$B$2*100)</f>
        <v>60.234374999999993</v>
      </c>
      <c r="L156" s="11">
        <f>IF(J156="","",J156/Config!$B$3*100)</f>
        <v>39.722222222222221</v>
      </c>
      <c r="M156" s="5">
        <v>10</v>
      </c>
      <c r="N156" s="6" t="b">
        <v>0</v>
      </c>
      <c r="O156" s="6" t="b">
        <v>0</v>
      </c>
      <c r="P156" s="6" t="b">
        <v>1</v>
      </c>
      <c r="Q156" s="5"/>
      <c r="R156" s="5"/>
    </row>
    <row r="157" spans="1:18" ht="15">
      <c r="A157" s="5" t="str">
        <f t="shared" si="2"/>
        <v>완료</v>
      </c>
      <c r="B157" s="5">
        <v>156</v>
      </c>
      <c r="C157" s="5" t="s">
        <v>788</v>
      </c>
      <c r="D157" s="5" t="s">
        <v>390</v>
      </c>
      <c r="E157" s="5" t="s">
        <v>390</v>
      </c>
      <c r="F157" s="5" t="s">
        <v>391</v>
      </c>
      <c r="G157" s="5" t="s">
        <v>335</v>
      </c>
      <c r="H157" s="5" t="s">
        <v>753</v>
      </c>
      <c r="I157" s="7">
        <v>3192</v>
      </c>
      <c r="J157" s="7">
        <v>1144</v>
      </c>
      <c r="K157" s="11">
        <f>IF(I157="","",I157/Config!$B$2*100)</f>
        <v>62.34375</v>
      </c>
      <c r="L157" s="11">
        <f>IF(J157="","",J157/Config!$B$3*100)</f>
        <v>39.722222222222221</v>
      </c>
      <c r="M157" s="5">
        <v>10</v>
      </c>
      <c r="N157" s="6" t="b">
        <v>0</v>
      </c>
      <c r="O157" s="6" t="b">
        <v>0</v>
      </c>
      <c r="P157" s="6" t="b">
        <v>1</v>
      </c>
      <c r="Q157" s="5"/>
      <c r="R157" s="5"/>
    </row>
    <row r="158" spans="1:18" ht="15">
      <c r="A158" s="5" t="str">
        <f t="shared" si="2"/>
        <v>완료</v>
      </c>
      <c r="B158" s="5">
        <v>157</v>
      </c>
      <c r="C158" s="5" t="s">
        <v>789</v>
      </c>
      <c r="D158" s="5" t="s">
        <v>392</v>
      </c>
      <c r="E158" s="5" t="s">
        <v>392</v>
      </c>
      <c r="F158" s="5" t="s">
        <v>393</v>
      </c>
      <c r="G158" s="5" t="s">
        <v>335</v>
      </c>
      <c r="H158" s="5" t="s">
        <v>753</v>
      </c>
      <c r="I158" s="7">
        <v>3192</v>
      </c>
      <c r="J158" s="7">
        <v>1250</v>
      </c>
      <c r="K158" s="11">
        <f>IF(I158="","",I158/Config!$B$2*100)</f>
        <v>62.34375</v>
      </c>
      <c r="L158" s="11">
        <f>IF(J158="","",J158/Config!$B$3*100)</f>
        <v>43.402777777777779</v>
      </c>
      <c r="M158" s="5">
        <v>12</v>
      </c>
      <c r="N158" s="6" t="b">
        <v>1</v>
      </c>
      <c r="O158" s="6" t="b">
        <v>0</v>
      </c>
      <c r="P158" s="6" t="b">
        <v>1</v>
      </c>
      <c r="Q158" s="5"/>
      <c r="R158" s="5"/>
    </row>
    <row r="159" spans="1:18" ht="15">
      <c r="A159" s="5" t="str">
        <f t="shared" si="2"/>
        <v>완료</v>
      </c>
      <c r="B159" s="5">
        <v>158</v>
      </c>
      <c r="C159" s="5" t="s">
        <v>790</v>
      </c>
      <c r="D159" s="5" t="s">
        <v>396</v>
      </c>
      <c r="E159" s="5" t="s">
        <v>396</v>
      </c>
      <c r="F159" s="5" t="s">
        <v>397</v>
      </c>
      <c r="G159" s="5" t="s">
        <v>335</v>
      </c>
      <c r="H159" s="5" t="s">
        <v>753</v>
      </c>
      <c r="I159" s="7">
        <v>3192</v>
      </c>
      <c r="J159" s="7">
        <v>1368</v>
      </c>
      <c r="K159" s="11">
        <f>IF(I159="","",I159/Config!$B$2*100)</f>
        <v>62.34375</v>
      </c>
      <c r="L159" s="11">
        <f>IF(J159="","",J159/Config!$B$3*100)</f>
        <v>47.5</v>
      </c>
      <c r="M159" s="5">
        <v>10</v>
      </c>
      <c r="N159" s="6" t="b">
        <v>0</v>
      </c>
      <c r="O159" s="6" t="b">
        <v>0</v>
      </c>
      <c r="P159" s="6" t="b">
        <v>1</v>
      </c>
      <c r="Q159" s="5"/>
      <c r="R159" s="5"/>
    </row>
    <row r="160" spans="1:18" ht="15">
      <c r="A160" s="5" t="str">
        <f t="shared" si="2"/>
        <v>완료</v>
      </c>
      <c r="B160" s="5">
        <v>159</v>
      </c>
      <c r="C160" s="5" t="s">
        <v>791</v>
      </c>
      <c r="D160" s="5" t="s">
        <v>398</v>
      </c>
      <c r="E160" s="5" t="s">
        <v>398</v>
      </c>
      <c r="F160" s="5" t="s">
        <v>399</v>
      </c>
      <c r="G160" s="5" t="s">
        <v>335</v>
      </c>
      <c r="H160" s="5" t="s">
        <v>753</v>
      </c>
      <c r="I160" s="7">
        <v>3192</v>
      </c>
      <c r="J160" s="7">
        <v>1484</v>
      </c>
      <c r="K160" s="11">
        <f>IF(I160="","",I160/Config!$B$2*100)</f>
        <v>62.34375</v>
      </c>
      <c r="L160" s="11">
        <f>IF(J160="","",J160/Config!$B$3*100)</f>
        <v>51.527777777777771</v>
      </c>
      <c r="M160" s="5">
        <v>10</v>
      </c>
      <c r="N160" s="6" t="b">
        <v>0</v>
      </c>
      <c r="O160" s="6" t="b">
        <v>0</v>
      </c>
      <c r="P160" s="6" t="b">
        <v>1</v>
      </c>
      <c r="Q160" s="5"/>
      <c r="R160" s="5"/>
    </row>
    <row r="161" spans="1:18" ht="15">
      <c r="A161" s="5" t="str">
        <f t="shared" si="2"/>
        <v>완료</v>
      </c>
      <c r="B161" s="5">
        <v>160</v>
      </c>
      <c r="C161" s="5" t="s">
        <v>792</v>
      </c>
      <c r="D161" s="5" t="s">
        <v>400</v>
      </c>
      <c r="E161" s="5" t="s">
        <v>400</v>
      </c>
      <c r="F161" s="5" t="s">
        <v>401</v>
      </c>
      <c r="G161" s="5" t="s">
        <v>335</v>
      </c>
      <c r="H161" s="5" t="s">
        <v>753</v>
      </c>
      <c r="I161" s="7">
        <v>3340</v>
      </c>
      <c r="J161" s="7">
        <v>1636</v>
      </c>
      <c r="K161" s="11">
        <f>IF(I161="","",I161/Config!$B$2*100)</f>
        <v>65.234375</v>
      </c>
      <c r="L161" s="11">
        <f>IF(J161="","",J161/Config!$B$3*100)</f>
        <v>56.805555555555557</v>
      </c>
      <c r="M161" s="5">
        <v>12</v>
      </c>
      <c r="N161" s="6" t="b">
        <v>1</v>
      </c>
      <c r="O161" s="6" t="b">
        <v>0</v>
      </c>
      <c r="P161" s="6" t="b">
        <v>1</v>
      </c>
      <c r="Q161" s="5"/>
      <c r="R161" s="5"/>
    </row>
    <row r="162" spans="1:18" ht="28.5">
      <c r="A162" s="5" t="str">
        <f>IF(OR(I162="",J162=""),"미작업","완료")</f>
        <v>완료</v>
      </c>
      <c r="B162" s="5">
        <v>161</v>
      </c>
      <c r="C162" s="5" t="s">
        <v>793</v>
      </c>
      <c r="D162" s="5" t="s">
        <v>404</v>
      </c>
      <c r="E162" s="5" t="s">
        <v>404</v>
      </c>
      <c r="F162" s="5" t="s">
        <v>405</v>
      </c>
      <c r="G162" s="5" t="s">
        <v>335</v>
      </c>
      <c r="H162" s="5" t="s">
        <v>794</v>
      </c>
      <c r="I162" s="7">
        <v>3468</v>
      </c>
      <c r="J162" s="7">
        <v>1760</v>
      </c>
      <c r="K162" s="11">
        <f>IF(I162="","",I162/Config!$B$2*100)</f>
        <v>67.734375</v>
      </c>
      <c r="L162" s="11">
        <f>IF(J162="","",J162/Config!$B$3*100)</f>
        <v>61.111111111111114</v>
      </c>
      <c r="M162" s="5">
        <v>10</v>
      </c>
      <c r="N162" s="6" t="b">
        <v>0</v>
      </c>
      <c r="O162" s="6" t="b">
        <v>1</v>
      </c>
      <c r="P162" s="6" t="b">
        <v>1</v>
      </c>
      <c r="Q162" s="5"/>
      <c r="R162" s="5"/>
    </row>
    <row r="163" spans="1:18" ht="15">
      <c r="A163" s="5" t="str">
        <f t="shared" si="2"/>
        <v>완료</v>
      </c>
      <c r="B163" s="5">
        <v>162</v>
      </c>
      <c r="C163" s="5" t="s">
        <v>795</v>
      </c>
      <c r="D163" s="5" t="s">
        <v>407</v>
      </c>
      <c r="E163" s="5" t="s">
        <v>407</v>
      </c>
      <c r="F163" s="5" t="s">
        <v>408</v>
      </c>
      <c r="G163" s="5" t="s">
        <v>335</v>
      </c>
      <c r="H163" s="5" t="s">
        <v>796</v>
      </c>
      <c r="I163" s="7">
        <v>3616</v>
      </c>
      <c r="J163" s="7">
        <v>1760</v>
      </c>
      <c r="K163" s="11">
        <f>IF(I163="","",I163/Config!$B$2*100)</f>
        <v>70.625</v>
      </c>
      <c r="L163" s="11">
        <f>IF(J163="","",J163/Config!$B$3*100)</f>
        <v>61.111111111111114</v>
      </c>
      <c r="M163" s="5">
        <v>10</v>
      </c>
      <c r="N163" s="6" t="b">
        <v>0</v>
      </c>
      <c r="O163" s="6" t="b">
        <v>0</v>
      </c>
      <c r="P163" s="6" t="b">
        <v>1</v>
      </c>
      <c r="Q163" s="5"/>
      <c r="R163" s="5"/>
    </row>
    <row r="164" spans="1:18" ht="15">
      <c r="A164" s="5" t="str">
        <f t="shared" si="2"/>
        <v>완료</v>
      </c>
      <c r="B164" s="5">
        <v>163</v>
      </c>
      <c r="C164" s="5" t="s">
        <v>797</v>
      </c>
      <c r="D164" s="5" t="s">
        <v>410</v>
      </c>
      <c r="E164" s="5" t="s">
        <v>410</v>
      </c>
      <c r="F164" s="5" t="s">
        <v>411</v>
      </c>
      <c r="G164" s="5" t="s">
        <v>335</v>
      </c>
      <c r="H164" s="5" t="s">
        <v>796</v>
      </c>
      <c r="I164" s="7">
        <v>3764</v>
      </c>
      <c r="J164" s="7">
        <v>1760</v>
      </c>
      <c r="K164" s="11">
        <f>IF(I164="","",I164/Config!$B$2*100)</f>
        <v>73.515625</v>
      </c>
      <c r="L164" s="11">
        <f>IF(J164="","",J164/Config!$B$3*100)</f>
        <v>61.111111111111114</v>
      </c>
      <c r="M164" s="5">
        <v>10</v>
      </c>
      <c r="N164" s="6" t="b">
        <v>0</v>
      </c>
      <c r="O164" s="6" t="b">
        <v>0</v>
      </c>
      <c r="P164" s="6" t="b">
        <v>1</v>
      </c>
      <c r="Q164" s="5"/>
      <c r="R164" s="5"/>
    </row>
    <row r="165" spans="1:18" ht="15">
      <c r="A165" s="5" t="str">
        <f t="shared" si="2"/>
        <v>완료</v>
      </c>
      <c r="B165" s="5">
        <v>164</v>
      </c>
      <c r="C165" s="5" t="s">
        <v>798</v>
      </c>
      <c r="D165" s="5" t="s">
        <v>412</v>
      </c>
      <c r="E165" s="5" t="s">
        <v>412</v>
      </c>
      <c r="F165" s="5" t="s">
        <v>413</v>
      </c>
      <c r="G165" s="5" t="s">
        <v>335</v>
      </c>
      <c r="H165" s="5" t="s">
        <v>796</v>
      </c>
      <c r="I165" s="7">
        <v>3912</v>
      </c>
      <c r="J165" s="7">
        <v>1760</v>
      </c>
      <c r="K165" s="11">
        <f>IF(I165="","",I165/Config!$B$2*100)</f>
        <v>76.40625</v>
      </c>
      <c r="L165" s="11">
        <f>IF(J165="","",J165/Config!$B$3*100)</f>
        <v>61.111111111111114</v>
      </c>
      <c r="M165" s="5">
        <v>10</v>
      </c>
      <c r="N165" s="6" t="b">
        <v>0</v>
      </c>
      <c r="O165" s="6" t="b">
        <v>0</v>
      </c>
      <c r="P165" s="6" t="b">
        <v>1</v>
      </c>
      <c r="Q165" s="5"/>
      <c r="R165" s="5"/>
    </row>
    <row r="166" spans="1:18" ht="15">
      <c r="A166" s="5" t="str">
        <f t="shared" si="2"/>
        <v>완료</v>
      </c>
      <c r="B166" s="5">
        <v>165</v>
      </c>
      <c r="C166" s="5" t="s">
        <v>799</v>
      </c>
      <c r="D166" s="5" t="s">
        <v>414</v>
      </c>
      <c r="E166" s="5" t="s">
        <v>414</v>
      </c>
      <c r="F166" s="5" t="s">
        <v>415</v>
      </c>
      <c r="G166" s="5" t="s">
        <v>335</v>
      </c>
      <c r="H166" s="5" t="s">
        <v>796</v>
      </c>
      <c r="I166" s="7">
        <v>4060</v>
      </c>
      <c r="J166" s="7">
        <v>1760</v>
      </c>
      <c r="K166" s="11">
        <f>IF(I166="","",I166/Config!$B$2*100)</f>
        <v>79.296875</v>
      </c>
      <c r="L166" s="11">
        <f>IF(J166="","",J166/Config!$B$3*100)</f>
        <v>61.111111111111114</v>
      </c>
      <c r="M166" s="5">
        <v>10</v>
      </c>
      <c r="N166" s="6" t="b">
        <v>0</v>
      </c>
      <c r="O166" s="6" t="b">
        <v>0</v>
      </c>
      <c r="P166" s="6" t="b">
        <v>1</v>
      </c>
      <c r="Q166" s="5"/>
      <c r="R166" s="5"/>
    </row>
    <row r="167" spans="1:18" ht="15">
      <c r="A167" s="5" t="str">
        <f t="shared" si="2"/>
        <v>완료</v>
      </c>
      <c r="B167" s="5">
        <v>166</v>
      </c>
      <c r="C167" s="5" t="s">
        <v>800</v>
      </c>
      <c r="D167" s="5" t="s">
        <v>416</v>
      </c>
      <c r="E167" s="5" t="s">
        <v>416</v>
      </c>
      <c r="F167" s="5" t="s">
        <v>417</v>
      </c>
      <c r="G167" s="5" t="s">
        <v>335</v>
      </c>
      <c r="H167" s="5" t="s">
        <v>796</v>
      </c>
      <c r="I167" s="7">
        <v>4208</v>
      </c>
      <c r="J167" s="7">
        <v>1760</v>
      </c>
      <c r="K167" s="11">
        <f>IF(I167="","",I167/Config!$B$2*100)</f>
        <v>82.1875</v>
      </c>
      <c r="L167" s="11">
        <f>IF(J167="","",J167/Config!$B$3*100)</f>
        <v>61.111111111111114</v>
      </c>
      <c r="M167" s="5">
        <v>10</v>
      </c>
      <c r="N167" s="6" t="b">
        <v>0</v>
      </c>
      <c r="O167" s="6" t="b">
        <v>0</v>
      </c>
      <c r="P167" s="6" t="b">
        <v>1</v>
      </c>
      <c r="Q167" s="5"/>
      <c r="R167" s="5"/>
    </row>
    <row r="168" spans="1:18" ht="15">
      <c r="A168" s="5" t="str">
        <f t="shared" si="2"/>
        <v>완료</v>
      </c>
      <c r="B168" s="5">
        <v>167</v>
      </c>
      <c r="C168" s="5" t="s">
        <v>801</v>
      </c>
      <c r="D168" s="5" t="s">
        <v>418</v>
      </c>
      <c r="E168" s="5" t="s">
        <v>418</v>
      </c>
      <c r="F168" s="5" t="s">
        <v>419</v>
      </c>
      <c r="G168" s="5" t="s">
        <v>335</v>
      </c>
      <c r="H168" s="5" t="s">
        <v>796</v>
      </c>
      <c r="I168" s="7">
        <v>4356</v>
      </c>
      <c r="J168" s="7">
        <v>1760</v>
      </c>
      <c r="K168" s="11">
        <f>IF(I168="","",I168/Config!$B$2*100)</f>
        <v>85.078125</v>
      </c>
      <c r="L168" s="11">
        <f>IF(J168="","",J168/Config!$B$3*100)</f>
        <v>61.111111111111114</v>
      </c>
      <c r="M168" s="5">
        <v>10</v>
      </c>
      <c r="N168" s="6" t="b">
        <v>0</v>
      </c>
      <c r="O168" s="6" t="b">
        <v>0</v>
      </c>
      <c r="P168" s="6" t="b">
        <v>1</v>
      </c>
      <c r="Q168" s="5"/>
      <c r="R168" s="5"/>
    </row>
    <row r="169" spans="1:18" ht="15">
      <c r="A169" s="5" t="str">
        <f t="shared" si="2"/>
        <v>완료</v>
      </c>
      <c r="B169" s="5">
        <v>168</v>
      </c>
      <c r="C169" s="5" t="s">
        <v>802</v>
      </c>
      <c r="D169" s="5" t="s">
        <v>420</v>
      </c>
      <c r="E169" s="5" t="s">
        <v>420</v>
      </c>
      <c r="F169" s="5" t="s">
        <v>421</v>
      </c>
      <c r="G169" s="5" t="s">
        <v>335</v>
      </c>
      <c r="H169" s="5" t="s">
        <v>796</v>
      </c>
      <c r="I169" s="7">
        <v>4356</v>
      </c>
      <c r="J169" s="7">
        <v>1868</v>
      </c>
      <c r="K169" s="11">
        <f>IF(I169="","",I169/Config!$B$2*100)</f>
        <v>85.078125</v>
      </c>
      <c r="L169" s="11">
        <f>IF(J169="","",J169/Config!$B$3*100)</f>
        <v>64.861111111111114</v>
      </c>
      <c r="M169" s="5">
        <v>10</v>
      </c>
      <c r="N169" s="6" t="b">
        <v>0</v>
      </c>
      <c r="O169" s="6" t="b">
        <v>0</v>
      </c>
      <c r="P169" s="6" t="b">
        <v>1</v>
      </c>
      <c r="Q169" s="5"/>
      <c r="R169" s="5"/>
    </row>
    <row r="170" spans="1:18" ht="15">
      <c r="A170" s="5" t="str">
        <f t="shared" si="2"/>
        <v>완료</v>
      </c>
      <c r="B170" s="5">
        <v>169</v>
      </c>
      <c r="C170" s="5" t="s">
        <v>803</v>
      </c>
      <c r="D170" s="5" t="s">
        <v>422</v>
      </c>
      <c r="E170" s="5" t="s">
        <v>422</v>
      </c>
      <c r="F170" s="5" t="s">
        <v>423</v>
      </c>
      <c r="G170" s="5" t="s">
        <v>335</v>
      </c>
      <c r="H170" s="5" t="s">
        <v>796</v>
      </c>
      <c r="I170" s="7">
        <v>4356</v>
      </c>
      <c r="J170" s="7">
        <v>1976</v>
      </c>
      <c r="K170" s="11">
        <f>IF(I170="","",I170/Config!$B$2*100)</f>
        <v>85.078125</v>
      </c>
      <c r="L170" s="11">
        <f>IF(J170="","",J170/Config!$B$3*100)</f>
        <v>68.611111111111114</v>
      </c>
      <c r="M170" s="5">
        <v>10</v>
      </c>
      <c r="N170" s="6" t="b">
        <v>0</v>
      </c>
      <c r="O170" s="6" t="b">
        <v>0</v>
      </c>
      <c r="P170" s="6" t="b">
        <v>1</v>
      </c>
      <c r="Q170" s="5"/>
      <c r="R170" s="5"/>
    </row>
    <row r="171" spans="1:18" ht="15">
      <c r="A171" s="5" t="str">
        <f t="shared" si="2"/>
        <v>완료</v>
      </c>
      <c r="B171" s="5">
        <v>170</v>
      </c>
      <c r="C171" s="5" t="s">
        <v>804</v>
      </c>
      <c r="D171" s="5" t="s">
        <v>424</v>
      </c>
      <c r="E171" s="5" t="s">
        <v>424</v>
      </c>
      <c r="F171" s="5" t="s">
        <v>425</v>
      </c>
      <c r="G171" s="5" t="s">
        <v>335</v>
      </c>
      <c r="H171" s="5" t="s">
        <v>796</v>
      </c>
      <c r="I171" s="7">
        <v>4356</v>
      </c>
      <c r="J171" s="7">
        <v>2084</v>
      </c>
      <c r="K171" s="11">
        <f>IF(I171="","",I171/Config!$B$2*100)</f>
        <v>85.078125</v>
      </c>
      <c r="L171" s="11">
        <f>IF(J171="","",J171/Config!$B$3*100)</f>
        <v>72.361111111111114</v>
      </c>
      <c r="M171" s="5">
        <v>10</v>
      </c>
      <c r="N171" s="6" t="b">
        <v>0</v>
      </c>
      <c r="O171" s="6" t="b">
        <v>0</v>
      </c>
      <c r="P171" s="6" t="b">
        <v>1</v>
      </c>
      <c r="Q171" s="5" t="s">
        <v>426</v>
      </c>
      <c r="R171" s="5"/>
    </row>
    <row r="172" spans="1:18" ht="15">
      <c r="A172" s="5" t="str">
        <f t="shared" si="2"/>
        <v>완료</v>
      </c>
      <c r="B172" s="5">
        <v>171</v>
      </c>
      <c r="C172" s="5" t="s">
        <v>805</v>
      </c>
      <c r="D172" s="5" t="s">
        <v>427</v>
      </c>
      <c r="E172" s="5" t="s">
        <v>427</v>
      </c>
      <c r="F172" s="5" t="s">
        <v>428</v>
      </c>
      <c r="G172" s="5" t="s">
        <v>335</v>
      </c>
      <c r="H172" s="5" t="s">
        <v>796</v>
      </c>
      <c r="I172" s="7">
        <v>4356</v>
      </c>
      <c r="J172" s="7">
        <v>2192</v>
      </c>
      <c r="K172" s="11">
        <f>IF(I172="","",I172/Config!$B$2*100)</f>
        <v>85.078125</v>
      </c>
      <c r="L172" s="11">
        <f>IF(J172="","",J172/Config!$B$3*100)</f>
        <v>76.111111111111114</v>
      </c>
      <c r="M172" s="5">
        <v>10</v>
      </c>
      <c r="N172" s="6" t="b">
        <v>0</v>
      </c>
      <c r="O172" s="6" t="b">
        <v>1</v>
      </c>
      <c r="P172" s="6" t="b">
        <v>1</v>
      </c>
      <c r="Q172" s="5"/>
      <c r="R172" s="5"/>
    </row>
    <row r="173" spans="1:18" ht="15">
      <c r="A173" s="5" t="str">
        <f t="shared" si="2"/>
        <v>완료</v>
      </c>
      <c r="B173" s="5">
        <v>172</v>
      </c>
      <c r="C173" s="5" t="s">
        <v>806</v>
      </c>
      <c r="D173" s="5" t="s">
        <v>429</v>
      </c>
      <c r="E173" s="5" t="s">
        <v>429</v>
      </c>
      <c r="F173" s="5" t="s">
        <v>430</v>
      </c>
      <c r="G173" s="5" t="s">
        <v>335</v>
      </c>
      <c r="H173" s="5" t="s">
        <v>761</v>
      </c>
      <c r="I173" s="7">
        <v>3528</v>
      </c>
      <c r="J173" s="7">
        <v>1824</v>
      </c>
      <c r="K173" s="11">
        <f>IF(I173="","",I173/Config!$B$2*100)</f>
        <v>68.90625</v>
      </c>
      <c r="L173" s="11">
        <f>IF(J173="","",J173/Config!$B$3*100)</f>
        <v>63.333333333333329</v>
      </c>
      <c r="M173" s="5">
        <v>10</v>
      </c>
      <c r="N173" s="6" t="b">
        <v>0</v>
      </c>
      <c r="O173" s="6" t="b">
        <v>0</v>
      </c>
      <c r="P173" s="6" t="b">
        <v>1</v>
      </c>
      <c r="Q173" s="5"/>
      <c r="R173" s="5"/>
    </row>
    <row r="174" spans="1:18" ht="15">
      <c r="A174" s="5" t="str">
        <f t="shared" si="2"/>
        <v>완료</v>
      </c>
      <c r="B174" s="5">
        <v>173</v>
      </c>
      <c r="C174" s="5" t="s">
        <v>807</v>
      </c>
      <c r="D174" s="5" t="s">
        <v>432</v>
      </c>
      <c r="E174" s="5" t="s">
        <v>432</v>
      </c>
      <c r="F174" s="5" t="s">
        <v>433</v>
      </c>
      <c r="G174" s="5" t="s">
        <v>335</v>
      </c>
      <c r="H174" s="5" t="s">
        <v>761</v>
      </c>
      <c r="I174" s="7">
        <v>3584</v>
      </c>
      <c r="J174" s="7">
        <v>1882</v>
      </c>
      <c r="K174" s="11">
        <f>IF(I174="","",I174/Config!$B$2*100)</f>
        <v>70</v>
      </c>
      <c r="L174" s="11">
        <f>IF(J174="","",J174/Config!$B$3*100)</f>
        <v>65.347222222222229</v>
      </c>
      <c r="M174" s="5">
        <v>10</v>
      </c>
      <c r="N174" s="6" t="b">
        <v>0</v>
      </c>
      <c r="O174" s="6" t="b">
        <v>0</v>
      </c>
      <c r="P174" s="6" t="b">
        <v>1</v>
      </c>
      <c r="Q174" s="5"/>
      <c r="R174" s="5"/>
    </row>
    <row r="175" spans="1:18" ht="15">
      <c r="A175" s="5" t="str">
        <f t="shared" si="2"/>
        <v>완료</v>
      </c>
      <c r="B175" s="5">
        <v>174</v>
      </c>
      <c r="C175" s="5" t="s">
        <v>808</v>
      </c>
      <c r="D175" s="5" t="s">
        <v>434</v>
      </c>
      <c r="E175" s="5" t="s">
        <v>434</v>
      </c>
      <c r="F175" s="5" t="s">
        <v>435</v>
      </c>
      <c r="G175" s="5" t="s">
        <v>335</v>
      </c>
      <c r="H175" s="5" t="s">
        <v>761</v>
      </c>
      <c r="I175" s="7">
        <v>3640</v>
      </c>
      <c r="J175" s="7">
        <v>1936</v>
      </c>
      <c r="K175" s="11">
        <f>IF(I175="","",I175/Config!$B$2*100)</f>
        <v>71.09375</v>
      </c>
      <c r="L175" s="11">
        <f>IF(J175="","",J175/Config!$B$3*100)</f>
        <v>67.222222222222229</v>
      </c>
      <c r="M175" s="5">
        <v>10</v>
      </c>
      <c r="N175" s="6" t="b">
        <v>0</v>
      </c>
      <c r="O175" s="6" t="b">
        <v>0</v>
      </c>
      <c r="P175" s="6" t="b">
        <v>1</v>
      </c>
      <c r="Q175" s="5"/>
      <c r="R175" s="5"/>
    </row>
    <row r="176" spans="1:18" ht="15">
      <c r="A176" s="5" t="str">
        <f t="shared" si="2"/>
        <v>완료</v>
      </c>
      <c r="B176" s="5">
        <v>175</v>
      </c>
      <c r="C176" s="5" t="s">
        <v>809</v>
      </c>
      <c r="D176" s="5" t="s">
        <v>436</v>
      </c>
      <c r="E176" s="5" t="s">
        <v>436</v>
      </c>
      <c r="F176" s="5" t="s">
        <v>437</v>
      </c>
      <c r="G176" s="5" t="s">
        <v>335</v>
      </c>
      <c r="H176" s="5" t="s">
        <v>761</v>
      </c>
      <c r="I176" s="7">
        <v>3760</v>
      </c>
      <c r="J176" s="7">
        <v>2056</v>
      </c>
      <c r="K176" s="11">
        <f>IF(I176="","",I176/Config!$B$2*100)</f>
        <v>73.4375</v>
      </c>
      <c r="L176" s="11">
        <f>IF(J176="","",J176/Config!$B$3*100)</f>
        <v>71.388888888888886</v>
      </c>
      <c r="M176" s="5">
        <v>10</v>
      </c>
      <c r="N176" s="6" t="b">
        <v>0</v>
      </c>
      <c r="O176" s="6" t="b">
        <v>0</v>
      </c>
      <c r="P176" s="6" t="b">
        <v>1</v>
      </c>
      <c r="Q176" s="5"/>
      <c r="R176" s="5"/>
    </row>
    <row r="177" spans="1:18" ht="15">
      <c r="A177" s="5" t="str">
        <f t="shared" si="2"/>
        <v>완료</v>
      </c>
      <c r="B177" s="5">
        <v>176</v>
      </c>
      <c r="C177" s="5" t="s">
        <v>810</v>
      </c>
      <c r="D177" s="5" t="s">
        <v>438</v>
      </c>
      <c r="E177" s="5" t="s">
        <v>438</v>
      </c>
      <c r="F177" s="5" t="s">
        <v>439</v>
      </c>
      <c r="G177" s="5" t="s">
        <v>335</v>
      </c>
      <c r="H177" s="5" t="s">
        <v>761</v>
      </c>
      <c r="I177" s="7">
        <v>3824</v>
      </c>
      <c r="J177" s="7">
        <v>2120</v>
      </c>
      <c r="K177" s="11">
        <f>IF(I177="","",I177/Config!$B$2*100)</f>
        <v>74.6875</v>
      </c>
      <c r="L177" s="11">
        <f>IF(J177="","",J177/Config!$B$3*100)</f>
        <v>73.611111111111114</v>
      </c>
      <c r="M177" s="5">
        <v>10</v>
      </c>
      <c r="N177" s="6" t="b">
        <v>0</v>
      </c>
      <c r="O177" s="6" t="b">
        <v>0</v>
      </c>
      <c r="P177" s="6" t="b">
        <v>1</v>
      </c>
      <c r="Q177" s="5"/>
      <c r="R177" s="5"/>
    </row>
    <row r="178" spans="1:18" ht="15">
      <c r="A178" s="5" t="str">
        <f t="shared" si="2"/>
        <v>완료</v>
      </c>
      <c r="B178" s="5">
        <v>177</v>
      </c>
      <c r="C178" s="5" t="s">
        <v>811</v>
      </c>
      <c r="D178" s="5" t="s">
        <v>440</v>
      </c>
      <c r="E178" s="5" t="s">
        <v>440</v>
      </c>
      <c r="F178" s="5" t="s">
        <v>441</v>
      </c>
      <c r="G178" s="5" t="s">
        <v>335</v>
      </c>
      <c r="H178" s="5" t="s">
        <v>761</v>
      </c>
      <c r="I178" s="7">
        <v>3896</v>
      </c>
      <c r="J178" s="7">
        <v>2196</v>
      </c>
      <c r="K178" s="11">
        <f>IF(I178="","",I178/Config!$B$2*100)</f>
        <v>76.09375</v>
      </c>
      <c r="L178" s="11">
        <f>IF(J178="","",J178/Config!$B$3*100)</f>
        <v>76.25</v>
      </c>
      <c r="M178" s="5">
        <v>10</v>
      </c>
      <c r="N178" s="6" t="b">
        <v>0</v>
      </c>
      <c r="O178" s="6" t="b">
        <v>1</v>
      </c>
      <c r="P178" s="6" t="b">
        <v>1</v>
      </c>
      <c r="Q178" s="5"/>
      <c r="R178" s="5"/>
    </row>
    <row r="179" spans="1:18" ht="15">
      <c r="A179" s="5" t="str">
        <f t="shared" si="2"/>
        <v>완료</v>
      </c>
      <c r="B179" s="5">
        <v>178</v>
      </c>
      <c r="C179" s="5" t="s">
        <v>812</v>
      </c>
      <c r="D179" s="5" t="s">
        <v>75</v>
      </c>
      <c r="E179" s="5" t="s">
        <v>75</v>
      </c>
      <c r="F179" s="5" t="s">
        <v>76</v>
      </c>
      <c r="G179" s="5" t="s">
        <v>444</v>
      </c>
      <c r="H179" s="5" t="s">
        <v>627</v>
      </c>
      <c r="I179" s="7">
        <v>2528</v>
      </c>
      <c r="J179" s="7">
        <v>980</v>
      </c>
      <c r="K179" s="11">
        <f>IF(I179="","",I179/Config!$B$2*100)</f>
        <v>49.375</v>
      </c>
      <c r="L179" s="11">
        <f>IF(J179="","",J179/Config!$B$3*100)</f>
        <v>34.027777777777779</v>
      </c>
      <c r="M179" s="5">
        <v>12</v>
      </c>
      <c r="N179" s="6" t="b">
        <v>1</v>
      </c>
      <c r="O179" s="6" t="b">
        <v>0</v>
      </c>
      <c r="P179" s="6" t="b">
        <v>0</v>
      </c>
      <c r="Q179" s="5"/>
      <c r="R179" s="5"/>
    </row>
    <row r="180" spans="1:18" ht="15">
      <c r="A180" s="5" t="str">
        <f t="shared" si="2"/>
        <v>완료</v>
      </c>
      <c r="B180" s="5">
        <v>179</v>
      </c>
      <c r="C180" s="5" t="s">
        <v>813</v>
      </c>
      <c r="D180" s="5" t="s">
        <v>104</v>
      </c>
      <c r="E180" s="5" t="s">
        <v>104</v>
      </c>
      <c r="F180" s="5" t="s">
        <v>105</v>
      </c>
      <c r="G180" s="5" t="s">
        <v>444</v>
      </c>
      <c r="H180" s="5" t="s">
        <v>627</v>
      </c>
      <c r="I180" s="7">
        <v>2528</v>
      </c>
      <c r="J180" s="7">
        <v>1144</v>
      </c>
      <c r="K180" s="11">
        <f>IF(I180="","",I180/Config!$B$2*100)</f>
        <v>49.375</v>
      </c>
      <c r="L180" s="11">
        <f>IF(J180="","",J180/Config!$B$3*100)</f>
        <v>39.722222222222221</v>
      </c>
      <c r="M180" s="5">
        <v>12</v>
      </c>
      <c r="N180" s="6" t="b">
        <v>1</v>
      </c>
      <c r="O180" s="6" t="b">
        <v>0</v>
      </c>
      <c r="P180" s="6" t="b">
        <v>0</v>
      </c>
      <c r="Q180" s="5"/>
      <c r="R180" s="5"/>
    </row>
    <row r="181" spans="1:18" ht="15">
      <c r="A181" s="5" t="str">
        <f t="shared" si="2"/>
        <v>완료</v>
      </c>
      <c r="B181" s="5">
        <v>180</v>
      </c>
      <c r="C181" s="5" t="s">
        <v>814</v>
      </c>
      <c r="D181" s="5" t="s">
        <v>178</v>
      </c>
      <c r="E181" s="5" t="s">
        <v>178</v>
      </c>
      <c r="F181" s="5" t="s">
        <v>179</v>
      </c>
      <c r="G181" s="5" t="s">
        <v>444</v>
      </c>
      <c r="H181" s="5" t="s">
        <v>627</v>
      </c>
      <c r="I181" s="7">
        <v>1424</v>
      </c>
      <c r="J181" s="7">
        <v>1332</v>
      </c>
      <c r="K181" s="11">
        <f>IF(I181="","",I181/Config!$B$2*100)</f>
        <v>27.8125</v>
      </c>
      <c r="L181" s="11">
        <f>IF(J181="","",J181/Config!$B$3*100)</f>
        <v>46.25</v>
      </c>
      <c r="M181" s="5">
        <v>12</v>
      </c>
      <c r="N181" s="6" t="b">
        <v>1</v>
      </c>
      <c r="O181" s="6" t="b">
        <v>0</v>
      </c>
      <c r="P181" s="6" t="b">
        <v>0</v>
      </c>
      <c r="Q181" s="5"/>
      <c r="R181" s="5"/>
    </row>
    <row r="182" spans="1:18" ht="15">
      <c r="A182" s="5" t="str">
        <f t="shared" si="2"/>
        <v>완료</v>
      </c>
      <c r="B182" s="5">
        <v>181</v>
      </c>
      <c r="C182" s="5" t="s">
        <v>815</v>
      </c>
      <c r="D182" s="5" t="s">
        <v>213</v>
      </c>
      <c r="E182" s="5" t="s">
        <v>213</v>
      </c>
      <c r="F182" s="5" t="s">
        <v>214</v>
      </c>
      <c r="G182" s="5" t="s">
        <v>444</v>
      </c>
      <c r="H182" s="5" t="s">
        <v>627</v>
      </c>
      <c r="I182" s="7">
        <v>1296</v>
      </c>
      <c r="J182" s="7">
        <v>488</v>
      </c>
      <c r="K182" s="11">
        <f>IF(I182="","",I182/Config!$B$2*100)</f>
        <v>25.3125</v>
      </c>
      <c r="L182" s="11">
        <f>IF(J182="","",J182/Config!$B$3*100)</f>
        <v>16.944444444444446</v>
      </c>
      <c r="M182" s="5">
        <v>12</v>
      </c>
      <c r="N182" s="6" t="b">
        <v>1</v>
      </c>
      <c r="O182" s="6" t="b">
        <v>0</v>
      </c>
      <c r="P182" s="6" t="b">
        <v>0</v>
      </c>
      <c r="Q182" s="5"/>
      <c r="R182" s="5"/>
    </row>
    <row r="183" spans="1:18" ht="15">
      <c r="A183" s="5" t="str">
        <f t="shared" si="2"/>
        <v>완료</v>
      </c>
      <c r="B183" s="5">
        <v>182</v>
      </c>
      <c r="C183" s="5" t="s">
        <v>816</v>
      </c>
      <c r="D183" s="5" t="s">
        <v>217</v>
      </c>
      <c r="E183" s="5" t="s">
        <v>217</v>
      </c>
      <c r="F183" s="5" t="s">
        <v>218</v>
      </c>
      <c r="G183" s="5" t="s">
        <v>444</v>
      </c>
      <c r="H183" s="5" t="s">
        <v>627</v>
      </c>
      <c r="I183" s="7">
        <v>1460</v>
      </c>
      <c r="J183" s="7">
        <v>488</v>
      </c>
      <c r="K183" s="11">
        <f>IF(I183="","",I183/Config!$B$2*100)</f>
        <v>28.515625</v>
      </c>
      <c r="L183" s="11">
        <f>IF(J183="","",J183/Config!$B$3*100)</f>
        <v>16.944444444444446</v>
      </c>
      <c r="M183" s="5">
        <v>12</v>
      </c>
      <c r="N183" s="6" t="b">
        <v>1</v>
      </c>
      <c r="O183" s="6" t="b">
        <v>0</v>
      </c>
      <c r="P183" s="6" t="b">
        <v>0</v>
      </c>
      <c r="Q183" s="5"/>
      <c r="R183" s="5"/>
    </row>
    <row r="184" spans="1:18" ht="15">
      <c r="A184" s="5" t="str">
        <f t="shared" si="2"/>
        <v>완료</v>
      </c>
      <c r="B184" s="5">
        <v>183</v>
      </c>
      <c r="C184" s="5" t="s">
        <v>817</v>
      </c>
      <c r="D184" s="5" t="s">
        <v>238</v>
      </c>
      <c r="E184" s="5" t="s">
        <v>238</v>
      </c>
      <c r="F184" s="5" t="s">
        <v>239</v>
      </c>
      <c r="G184" s="5" t="s">
        <v>444</v>
      </c>
      <c r="H184" s="5" t="s">
        <v>627</v>
      </c>
      <c r="I184" s="7">
        <v>2480</v>
      </c>
      <c r="J184" s="7">
        <v>1476</v>
      </c>
      <c r="K184" s="11">
        <f>IF(I184="","",I184/Config!$B$2*100)</f>
        <v>48.4375</v>
      </c>
      <c r="L184" s="11">
        <f>IF(J184="","",J184/Config!$B$3*100)</f>
        <v>51.249999999999993</v>
      </c>
      <c r="M184" s="5">
        <v>12</v>
      </c>
      <c r="N184" s="6" t="b">
        <v>1</v>
      </c>
      <c r="O184" s="6" t="b">
        <v>0</v>
      </c>
      <c r="P184" s="6" t="b">
        <v>0</v>
      </c>
      <c r="Q184" s="5"/>
      <c r="R184" s="5"/>
    </row>
    <row r="185" spans="1:18" ht="15">
      <c r="A185" s="5" t="str">
        <f t="shared" si="2"/>
        <v>완료</v>
      </c>
      <c r="B185" s="5">
        <v>184</v>
      </c>
      <c r="C185" s="5" t="s">
        <v>818</v>
      </c>
      <c r="D185" s="5" t="s">
        <v>318</v>
      </c>
      <c r="E185" s="5" t="s">
        <v>318</v>
      </c>
      <c r="F185" s="5" t="s">
        <v>319</v>
      </c>
      <c r="G185" s="5" t="s">
        <v>444</v>
      </c>
      <c r="H185" s="5" t="s">
        <v>627</v>
      </c>
      <c r="I185" s="7">
        <v>1940</v>
      </c>
      <c r="J185" s="7">
        <v>1476</v>
      </c>
      <c r="K185" s="11">
        <f>IF(I185="","",I185/Config!$B$2*100)</f>
        <v>37.890625</v>
      </c>
      <c r="L185" s="11">
        <f>IF(J185="","",J185/Config!$B$3*100)</f>
        <v>51.249999999999993</v>
      </c>
      <c r="M185" s="5">
        <v>12</v>
      </c>
      <c r="N185" s="6" t="b">
        <v>1</v>
      </c>
      <c r="O185" s="6" t="b">
        <v>0</v>
      </c>
      <c r="P185" s="6" t="b">
        <v>0</v>
      </c>
      <c r="Q185" s="5"/>
      <c r="R185" s="5"/>
    </row>
    <row r="186" spans="1:18" ht="15">
      <c r="A186" s="5" t="str">
        <f t="shared" si="2"/>
        <v>완료</v>
      </c>
      <c r="B186" s="5">
        <v>185</v>
      </c>
      <c r="C186" s="5" t="s">
        <v>819</v>
      </c>
      <c r="D186" s="5" t="s">
        <v>369</v>
      </c>
      <c r="E186" s="5" t="s">
        <v>369</v>
      </c>
      <c r="F186" s="5" t="s">
        <v>370</v>
      </c>
      <c r="G186" s="5" t="s">
        <v>444</v>
      </c>
      <c r="H186" s="5" t="s">
        <v>627</v>
      </c>
      <c r="I186" s="7">
        <v>1752</v>
      </c>
      <c r="J186" s="7">
        <v>1476</v>
      </c>
      <c r="K186" s="11">
        <f>IF(I186="","",I186/Config!$B$2*100)</f>
        <v>34.21875</v>
      </c>
      <c r="L186" s="11">
        <f>IF(J186="","",J186/Config!$B$3*100)</f>
        <v>51.249999999999993</v>
      </c>
      <c r="M186" s="5">
        <v>12</v>
      </c>
      <c r="N186" s="6" t="b">
        <v>1</v>
      </c>
      <c r="O186" s="6" t="b">
        <v>0</v>
      </c>
      <c r="P186" s="6" t="b">
        <v>0</v>
      </c>
      <c r="Q186" s="5"/>
      <c r="R186" s="5"/>
    </row>
    <row r="187" spans="1:18" ht="15">
      <c r="A187" s="5" t="str">
        <f t="shared" si="2"/>
        <v>완료</v>
      </c>
      <c r="B187" s="5">
        <v>186</v>
      </c>
      <c r="C187" s="5" t="s">
        <v>820</v>
      </c>
      <c r="D187" s="5" t="s">
        <v>380</v>
      </c>
      <c r="E187" s="5" t="s">
        <v>380</v>
      </c>
      <c r="F187" s="5" t="s">
        <v>381</v>
      </c>
      <c r="G187" s="5" t="s">
        <v>444</v>
      </c>
      <c r="H187" s="5" t="s">
        <v>627</v>
      </c>
      <c r="I187" s="7">
        <v>2528</v>
      </c>
      <c r="J187" s="7">
        <v>1244</v>
      </c>
      <c r="K187" s="11">
        <f>IF(I187="","",I187/Config!$B$2*100)</f>
        <v>49.375</v>
      </c>
      <c r="L187" s="11">
        <f>IF(J187="","",J187/Config!$B$3*100)</f>
        <v>43.194444444444443</v>
      </c>
      <c r="M187" s="5">
        <v>12</v>
      </c>
      <c r="N187" s="6" t="b">
        <v>1</v>
      </c>
      <c r="O187" s="6" t="b">
        <v>0</v>
      </c>
      <c r="P187" s="6" t="b">
        <v>0</v>
      </c>
      <c r="Q187" s="5"/>
      <c r="R187" s="5"/>
    </row>
    <row r="188" spans="1:18" ht="15">
      <c r="A188" s="5" t="str">
        <f t="shared" si="2"/>
        <v>완료</v>
      </c>
      <c r="B188" s="5">
        <v>187</v>
      </c>
      <c r="C188" s="5" t="s">
        <v>821</v>
      </c>
      <c r="D188" s="5" t="s">
        <v>442</v>
      </c>
      <c r="E188" s="5" t="s">
        <v>442</v>
      </c>
      <c r="F188" s="5" t="s">
        <v>443</v>
      </c>
      <c r="G188" s="5" t="s">
        <v>444</v>
      </c>
      <c r="H188" s="5" t="s">
        <v>627</v>
      </c>
      <c r="I188" s="7">
        <v>1296</v>
      </c>
      <c r="J188" s="7">
        <v>676</v>
      </c>
      <c r="K188" s="11">
        <f>IF(I188="","",I188/Config!$B$2*100)</f>
        <v>25.3125</v>
      </c>
      <c r="L188" s="11">
        <f>IF(J188="","",J188/Config!$B$3*100)</f>
        <v>23.472222222222221</v>
      </c>
      <c r="M188" s="5">
        <v>10</v>
      </c>
      <c r="N188" s="6" t="b">
        <v>0</v>
      </c>
      <c r="O188" s="6" t="b">
        <v>1</v>
      </c>
      <c r="P188" s="6" t="b">
        <v>1</v>
      </c>
      <c r="Q188" s="5"/>
      <c r="R188" s="5"/>
    </row>
    <row r="189" spans="1:18" ht="15">
      <c r="A189" s="5" t="str">
        <f t="shared" si="2"/>
        <v>완료</v>
      </c>
      <c r="B189" s="5">
        <v>188</v>
      </c>
      <c r="C189" s="5" t="s">
        <v>822</v>
      </c>
      <c r="D189" s="5" t="s">
        <v>446</v>
      </c>
      <c r="E189" s="5" t="s">
        <v>446</v>
      </c>
      <c r="F189" s="5" t="s">
        <v>447</v>
      </c>
      <c r="G189" s="5" t="s">
        <v>444</v>
      </c>
      <c r="H189" s="5" t="s">
        <v>627</v>
      </c>
      <c r="I189" s="7">
        <v>1384</v>
      </c>
      <c r="J189" s="7">
        <v>580</v>
      </c>
      <c r="K189" s="11">
        <f>IF(I189="","",I189/Config!$B$2*100)</f>
        <v>27.03125</v>
      </c>
      <c r="L189" s="11">
        <f>IF(J189="","",J189/Config!$B$3*100)</f>
        <v>20.138888888888889</v>
      </c>
      <c r="M189" s="5">
        <v>10</v>
      </c>
      <c r="N189" s="6" t="b">
        <v>0</v>
      </c>
      <c r="O189" s="6" t="b">
        <v>0</v>
      </c>
      <c r="P189" s="6" t="b">
        <v>1</v>
      </c>
      <c r="Q189" s="5"/>
      <c r="R189" s="5"/>
    </row>
    <row r="190" spans="1:18" ht="15">
      <c r="A190" s="5" t="str">
        <f t="shared" si="2"/>
        <v>완료</v>
      </c>
      <c r="B190" s="5">
        <v>189</v>
      </c>
      <c r="C190" s="5" t="s">
        <v>823</v>
      </c>
      <c r="D190" s="5" t="s">
        <v>448</v>
      </c>
      <c r="E190" s="5" t="s">
        <v>448</v>
      </c>
      <c r="F190" s="5" t="s">
        <v>449</v>
      </c>
      <c r="G190" s="5" t="s">
        <v>444</v>
      </c>
      <c r="H190" s="5" t="s">
        <v>627</v>
      </c>
      <c r="I190" s="7">
        <v>1378</v>
      </c>
      <c r="J190" s="7">
        <v>400</v>
      </c>
      <c r="K190" s="11">
        <f>IF(I190="","",I190/Config!$B$2*100)</f>
        <v>26.914062500000004</v>
      </c>
      <c r="L190" s="11">
        <f>IF(J190="","",J190/Config!$B$3*100)</f>
        <v>13.888888888888889</v>
      </c>
      <c r="M190" s="5">
        <v>10</v>
      </c>
      <c r="N190" s="6" t="b">
        <v>0</v>
      </c>
      <c r="O190" s="6" t="b">
        <v>0</v>
      </c>
      <c r="P190" s="6" t="b">
        <v>1</v>
      </c>
      <c r="Q190" s="5"/>
      <c r="R190" s="5"/>
    </row>
    <row r="191" spans="1:18" ht="15">
      <c r="A191" s="5" t="str">
        <f t="shared" si="2"/>
        <v>완료</v>
      </c>
      <c r="B191" s="5">
        <v>190</v>
      </c>
      <c r="C191" s="5" t="s">
        <v>824</v>
      </c>
      <c r="D191" s="5" t="s">
        <v>450</v>
      </c>
      <c r="E191" s="5" t="s">
        <v>450</v>
      </c>
      <c r="F191" s="5" t="s">
        <v>451</v>
      </c>
      <c r="G191" s="5" t="s">
        <v>444</v>
      </c>
      <c r="H191" s="5" t="s">
        <v>627</v>
      </c>
      <c r="I191" s="7">
        <v>1296</v>
      </c>
      <c r="J191" s="7">
        <v>584</v>
      </c>
      <c r="K191" s="11">
        <f>IF(I191="","",I191/Config!$B$2*100)</f>
        <v>25.3125</v>
      </c>
      <c r="L191" s="11">
        <f>IF(J191="","",J191/Config!$B$3*100)</f>
        <v>20.277777777777779</v>
      </c>
      <c r="M191" s="5">
        <v>10</v>
      </c>
      <c r="N191" s="6" t="b">
        <v>0</v>
      </c>
      <c r="O191" s="6" t="b">
        <v>0</v>
      </c>
      <c r="P191" s="6" t="b">
        <v>1</v>
      </c>
      <c r="Q191" s="5"/>
      <c r="R191" s="5"/>
    </row>
    <row r="192" spans="1:18" ht="15">
      <c r="A192" s="5" t="str">
        <f t="shared" si="2"/>
        <v>완료</v>
      </c>
      <c r="B192" s="5">
        <v>191</v>
      </c>
      <c r="C192" s="5" t="s">
        <v>825</v>
      </c>
      <c r="D192" s="5" t="s">
        <v>452</v>
      </c>
      <c r="E192" s="5" t="s">
        <v>452</v>
      </c>
      <c r="F192" s="5" t="s">
        <v>453</v>
      </c>
      <c r="G192" s="5" t="s">
        <v>444</v>
      </c>
      <c r="H192" s="5" t="s">
        <v>627</v>
      </c>
      <c r="I192" s="7">
        <v>1296</v>
      </c>
      <c r="J192" s="7">
        <v>780</v>
      </c>
      <c r="K192" s="11">
        <f>IF(I192="","",I192/Config!$B$2*100)</f>
        <v>25.3125</v>
      </c>
      <c r="L192" s="11">
        <f>IF(J192="","",J192/Config!$B$3*100)</f>
        <v>27.083333333333332</v>
      </c>
      <c r="M192" s="5">
        <v>10</v>
      </c>
      <c r="N192" s="6" t="b">
        <v>0</v>
      </c>
      <c r="O192" s="6" t="b">
        <v>0</v>
      </c>
      <c r="P192" s="6" t="b">
        <v>1</v>
      </c>
      <c r="Q192" s="5"/>
      <c r="R192" s="5"/>
    </row>
    <row r="193" spans="1:18" ht="15">
      <c r="A193" s="5" t="str">
        <f t="shared" si="2"/>
        <v>완료</v>
      </c>
      <c r="B193" s="5">
        <v>192</v>
      </c>
      <c r="C193" s="5" t="s">
        <v>826</v>
      </c>
      <c r="D193" s="5" t="s">
        <v>454</v>
      </c>
      <c r="E193" s="5" t="s">
        <v>454</v>
      </c>
      <c r="F193" s="5" t="s">
        <v>455</v>
      </c>
      <c r="G193" s="5" t="s">
        <v>444</v>
      </c>
      <c r="H193" s="5" t="s">
        <v>627</v>
      </c>
      <c r="I193" s="7">
        <v>1296</v>
      </c>
      <c r="J193" s="7">
        <v>884</v>
      </c>
      <c r="K193" s="11">
        <f>IF(I193="","",I193/Config!$B$2*100)</f>
        <v>25.3125</v>
      </c>
      <c r="L193" s="11">
        <f>IF(J193="","",J193/Config!$B$3*100)</f>
        <v>30.694444444444446</v>
      </c>
      <c r="M193" s="5">
        <v>10</v>
      </c>
      <c r="N193" s="6" t="b">
        <v>0</v>
      </c>
      <c r="O193" s="6" t="b">
        <v>0</v>
      </c>
      <c r="P193" s="6" t="b">
        <v>1</v>
      </c>
      <c r="Q193" s="5"/>
      <c r="R193" s="5"/>
    </row>
    <row r="194" spans="1:18" ht="15">
      <c r="A194" s="5" t="str">
        <f t="shared" ref="A194:A257" si="3">IF(OR(I194="",J194=""),"미작업","완료")</f>
        <v>완료</v>
      </c>
      <c r="B194" s="5">
        <v>193</v>
      </c>
      <c r="C194" s="5" t="s">
        <v>827</v>
      </c>
      <c r="D194" s="5" t="s">
        <v>456</v>
      </c>
      <c r="E194" s="5" t="s">
        <v>456</v>
      </c>
      <c r="F194" s="5" t="s">
        <v>457</v>
      </c>
      <c r="G194" s="5" t="s">
        <v>444</v>
      </c>
      <c r="H194" s="5" t="s">
        <v>627</v>
      </c>
      <c r="I194" s="7">
        <v>1296</v>
      </c>
      <c r="J194" s="7">
        <v>1032</v>
      </c>
      <c r="K194" s="11">
        <f>IF(I194="","",I194/Config!$B$2*100)</f>
        <v>25.3125</v>
      </c>
      <c r="L194" s="11">
        <f>IF(J194="","",J194/Config!$B$3*100)</f>
        <v>35.833333333333336</v>
      </c>
      <c r="M194" s="5">
        <v>10</v>
      </c>
      <c r="N194" s="6" t="b">
        <v>0</v>
      </c>
      <c r="O194" s="6" t="b">
        <v>0</v>
      </c>
      <c r="P194" s="6" t="b">
        <v>1</v>
      </c>
      <c r="Q194" s="5"/>
      <c r="R194" s="5"/>
    </row>
    <row r="195" spans="1:18" ht="15">
      <c r="A195" s="5" t="str">
        <f t="shared" si="3"/>
        <v>완료</v>
      </c>
      <c r="B195" s="5">
        <v>194</v>
      </c>
      <c r="C195" s="5" t="s">
        <v>828</v>
      </c>
      <c r="D195" s="5" t="s">
        <v>458</v>
      </c>
      <c r="E195" s="5" t="s">
        <v>458</v>
      </c>
      <c r="F195" s="5" t="s">
        <v>459</v>
      </c>
      <c r="G195" s="5" t="s">
        <v>444</v>
      </c>
      <c r="H195" s="5" t="s">
        <v>627</v>
      </c>
      <c r="I195" s="7">
        <v>1296</v>
      </c>
      <c r="J195" s="7">
        <v>1120</v>
      </c>
      <c r="K195" s="11">
        <f>IF(I195="","",I195/Config!$B$2*100)</f>
        <v>25.3125</v>
      </c>
      <c r="L195" s="11">
        <f>IF(J195="","",J195/Config!$B$3*100)</f>
        <v>38.888888888888893</v>
      </c>
      <c r="M195" s="5">
        <v>10</v>
      </c>
      <c r="N195" s="6" t="b">
        <v>0</v>
      </c>
      <c r="O195" s="6" t="b">
        <v>0</v>
      </c>
      <c r="P195" s="6" t="b">
        <v>1</v>
      </c>
      <c r="Q195" s="5" t="s">
        <v>460</v>
      </c>
      <c r="R195" s="5"/>
    </row>
    <row r="196" spans="1:18" ht="15">
      <c r="A196" s="5" t="str">
        <f t="shared" si="3"/>
        <v>완료</v>
      </c>
      <c r="B196" s="5">
        <v>195</v>
      </c>
      <c r="C196" s="5" t="s">
        <v>829</v>
      </c>
      <c r="D196" s="5" t="s">
        <v>461</v>
      </c>
      <c r="E196" s="5" t="s">
        <v>461</v>
      </c>
      <c r="F196" s="5" t="s">
        <v>462</v>
      </c>
      <c r="G196" s="5" t="s">
        <v>444</v>
      </c>
      <c r="H196" s="5" t="s">
        <v>627</v>
      </c>
      <c r="I196" s="7">
        <v>1296</v>
      </c>
      <c r="J196" s="7">
        <v>1200</v>
      </c>
      <c r="K196" s="11">
        <f>IF(I196="","",I196/Config!$B$2*100)</f>
        <v>25.3125</v>
      </c>
      <c r="L196" s="11">
        <f>IF(J196="","",J196/Config!$B$3*100)</f>
        <v>41.666666666666671</v>
      </c>
      <c r="M196" s="5">
        <v>10</v>
      </c>
      <c r="N196" s="6" t="b">
        <v>0</v>
      </c>
      <c r="O196" s="6" t="b">
        <v>0</v>
      </c>
      <c r="P196" s="6" t="b">
        <v>1</v>
      </c>
      <c r="Q196" s="5"/>
      <c r="R196" s="5"/>
    </row>
    <row r="197" spans="1:18" ht="15">
      <c r="A197" s="5" t="str">
        <f t="shared" si="3"/>
        <v>완료</v>
      </c>
      <c r="B197" s="5">
        <v>196</v>
      </c>
      <c r="C197" s="5" t="s">
        <v>830</v>
      </c>
      <c r="D197" s="5" t="s">
        <v>463</v>
      </c>
      <c r="E197" s="5" t="s">
        <v>463</v>
      </c>
      <c r="F197" s="5" t="s">
        <v>464</v>
      </c>
      <c r="G197" s="5" t="s">
        <v>444</v>
      </c>
      <c r="H197" s="5" t="s">
        <v>627</v>
      </c>
      <c r="I197" s="7">
        <v>1356</v>
      </c>
      <c r="J197" s="7">
        <v>1264</v>
      </c>
      <c r="K197" s="11">
        <f>IF(I197="","",I197/Config!$B$2*100)</f>
        <v>26.484375</v>
      </c>
      <c r="L197" s="11">
        <f>IF(J197="","",J197/Config!$B$3*100)</f>
        <v>43.888888888888886</v>
      </c>
      <c r="M197" s="5">
        <v>10</v>
      </c>
      <c r="N197" s="6" t="b">
        <v>0</v>
      </c>
      <c r="O197" s="6" t="b">
        <v>0</v>
      </c>
      <c r="P197" s="6" t="b">
        <v>1</v>
      </c>
      <c r="Q197" s="5"/>
      <c r="R197" s="5"/>
    </row>
    <row r="198" spans="1:18" ht="15">
      <c r="A198" s="5" t="str">
        <f t="shared" si="3"/>
        <v>완료</v>
      </c>
      <c r="B198" s="5">
        <v>197</v>
      </c>
      <c r="C198" s="5" t="s">
        <v>831</v>
      </c>
      <c r="D198" s="5" t="s">
        <v>465</v>
      </c>
      <c r="E198" s="5" t="s">
        <v>465</v>
      </c>
      <c r="F198" s="5" t="s">
        <v>466</v>
      </c>
      <c r="G198" s="5" t="s">
        <v>444</v>
      </c>
      <c r="H198" s="5" t="s">
        <v>627</v>
      </c>
      <c r="I198" s="7">
        <v>1488</v>
      </c>
      <c r="J198" s="7">
        <v>1396</v>
      </c>
      <c r="K198" s="11">
        <f>IF(I198="","",I198/Config!$B$2*100)</f>
        <v>29.062500000000004</v>
      </c>
      <c r="L198" s="11">
        <f>IF(J198="","",J198/Config!$B$3*100)</f>
        <v>48.472222222222221</v>
      </c>
      <c r="M198" s="5">
        <v>10</v>
      </c>
      <c r="N198" s="6" t="b">
        <v>0</v>
      </c>
      <c r="O198" s="6" t="b">
        <v>0</v>
      </c>
      <c r="P198" s="6" t="b">
        <v>1</v>
      </c>
      <c r="Q198" s="5"/>
      <c r="R198" s="5"/>
    </row>
    <row r="199" spans="1:18" ht="15">
      <c r="A199" s="5" t="str">
        <f>IF(OR(I198="",J199=""),"미작업","완료")</f>
        <v>완료</v>
      </c>
      <c r="B199" s="5">
        <v>198</v>
      </c>
      <c r="C199" s="5" t="s">
        <v>832</v>
      </c>
      <c r="D199" s="5" t="s">
        <v>467</v>
      </c>
      <c r="E199" s="5" t="s">
        <v>467</v>
      </c>
      <c r="F199" s="5" t="s">
        <v>468</v>
      </c>
      <c r="G199" s="5" t="s">
        <v>444</v>
      </c>
      <c r="H199" s="5" t="s">
        <v>627</v>
      </c>
      <c r="I199">
        <v>1572</v>
      </c>
      <c r="J199" s="7">
        <v>1476</v>
      </c>
      <c r="K199" s="11">
        <f>IF(I199="","",I199/Config!$B$2*100)</f>
        <v>30.703124999999996</v>
      </c>
      <c r="L199" s="11">
        <f>IF(J199="","",J199/Config!$B$3*100)</f>
        <v>51.249999999999993</v>
      </c>
      <c r="M199" s="5">
        <v>10</v>
      </c>
      <c r="N199" s="6" t="b">
        <v>0</v>
      </c>
      <c r="O199" s="6" t="b">
        <v>0</v>
      </c>
      <c r="P199" s="6" t="b">
        <v>1</v>
      </c>
      <c r="Q199" s="5"/>
      <c r="R199" s="5"/>
    </row>
    <row r="200" spans="1:18" ht="15">
      <c r="A200" s="5" t="str">
        <f t="shared" si="3"/>
        <v>완료</v>
      </c>
      <c r="B200" s="5">
        <v>199</v>
      </c>
      <c r="C200" s="5" t="s">
        <v>833</v>
      </c>
      <c r="D200" s="5" t="s">
        <v>469</v>
      </c>
      <c r="E200" s="5" t="s">
        <v>469</v>
      </c>
      <c r="F200" s="5" t="s">
        <v>470</v>
      </c>
      <c r="G200" s="5" t="s">
        <v>444</v>
      </c>
      <c r="H200" s="5" t="s">
        <v>627</v>
      </c>
      <c r="I200" s="7">
        <v>1656</v>
      </c>
      <c r="J200" s="7">
        <v>1476</v>
      </c>
      <c r="K200" s="11">
        <f>IF(I200="","",I200/Config!$B$2*100)</f>
        <v>32.34375</v>
      </c>
      <c r="L200" s="11">
        <f>IF(J200="","",J200/Config!$B$3*100)</f>
        <v>51.249999999999993</v>
      </c>
      <c r="M200" s="5">
        <v>10</v>
      </c>
      <c r="N200" s="6" t="b">
        <v>0</v>
      </c>
      <c r="O200" s="6" t="b">
        <v>0</v>
      </c>
      <c r="P200" s="6" t="b">
        <v>1</v>
      </c>
      <c r="Q200" s="5"/>
      <c r="R200" s="5"/>
    </row>
    <row r="201" spans="1:18" ht="15">
      <c r="A201" s="5" t="str">
        <f t="shared" si="3"/>
        <v>완료</v>
      </c>
      <c r="B201" s="5">
        <v>200</v>
      </c>
      <c r="C201" s="5" t="s">
        <v>834</v>
      </c>
      <c r="D201" s="5" t="s">
        <v>471</v>
      </c>
      <c r="E201" s="5" t="s">
        <v>471</v>
      </c>
      <c r="F201" s="5" t="s">
        <v>472</v>
      </c>
      <c r="G201" s="5" t="s">
        <v>444</v>
      </c>
      <c r="H201" s="5" t="s">
        <v>627</v>
      </c>
      <c r="I201" s="7">
        <v>1832</v>
      </c>
      <c r="J201" s="7">
        <v>1476</v>
      </c>
      <c r="K201" s="11">
        <f>IF(I201="","",I201/Config!$B$2*100)</f>
        <v>35.78125</v>
      </c>
      <c r="L201" s="11">
        <f>IF(J201="","",J201/Config!$B$3*100)</f>
        <v>51.249999999999993</v>
      </c>
      <c r="M201" s="5">
        <v>10</v>
      </c>
      <c r="N201" s="6" t="b">
        <v>0</v>
      </c>
      <c r="O201" s="6" t="b">
        <v>0</v>
      </c>
      <c r="P201" s="6" t="b">
        <v>1</v>
      </c>
      <c r="Q201" s="5"/>
      <c r="R201" s="5"/>
    </row>
    <row r="202" spans="1:18" ht="15">
      <c r="A202" s="5" t="str">
        <f t="shared" si="3"/>
        <v>완료</v>
      </c>
      <c r="B202" s="5">
        <v>201</v>
      </c>
      <c r="C202" s="5" t="s">
        <v>835</v>
      </c>
      <c r="D202" s="5" t="s">
        <v>473</v>
      </c>
      <c r="E202" s="5" t="s">
        <v>473</v>
      </c>
      <c r="F202" s="5" t="s">
        <v>474</v>
      </c>
      <c r="G202" s="5" t="s">
        <v>444</v>
      </c>
      <c r="H202" s="5" t="s">
        <v>627</v>
      </c>
      <c r="I202" s="7">
        <v>2048</v>
      </c>
      <c r="J202" s="7">
        <v>1476</v>
      </c>
      <c r="K202" s="11">
        <f>IF(I202="","",I202/Config!$B$2*100)</f>
        <v>40</v>
      </c>
      <c r="L202" s="11">
        <f>IF(J202="","",J202/Config!$B$3*100)</f>
        <v>51.249999999999993</v>
      </c>
      <c r="M202" s="5">
        <v>10</v>
      </c>
      <c r="N202" s="6" t="b">
        <v>0</v>
      </c>
      <c r="O202" s="6" t="b">
        <v>0</v>
      </c>
      <c r="P202" s="6" t="b">
        <v>1</v>
      </c>
      <c r="Q202" s="5"/>
      <c r="R202" s="5"/>
    </row>
    <row r="203" spans="1:18" ht="15">
      <c r="A203" s="5" t="str">
        <f t="shared" si="3"/>
        <v>완료</v>
      </c>
      <c r="B203" s="5">
        <v>202</v>
      </c>
      <c r="C203" s="5" t="s">
        <v>836</v>
      </c>
      <c r="D203" s="5" t="s">
        <v>475</v>
      </c>
      <c r="E203" s="5" t="s">
        <v>475</v>
      </c>
      <c r="F203" s="5" t="s">
        <v>476</v>
      </c>
      <c r="G203" s="5" t="s">
        <v>444</v>
      </c>
      <c r="H203" s="5" t="s">
        <v>627</v>
      </c>
      <c r="I203" s="7">
        <v>2156</v>
      </c>
      <c r="J203" s="7">
        <v>1476</v>
      </c>
      <c r="K203" s="11">
        <f>IF(I203="","",I203/Config!$B$2*100)</f>
        <v>42.109375</v>
      </c>
      <c r="L203" s="11">
        <f>IF(J203="","",J203/Config!$B$3*100)</f>
        <v>51.249999999999993</v>
      </c>
      <c r="M203" s="5">
        <v>10</v>
      </c>
      <c r="N203" s="6" t="b">
        <v>0</v>
      </c>
      <c r="O203" s="6" t="b">
        <v>0</v>
      </c>
      <c r="P203" s="6" t="b">
        <v>1</v>
      </c>
      <c r="Q203" s="5"/>
      <c r="R203" s="5"/>
    </row>
    <row r="204" spans="1:18" ht="15">
      <c r="A204" s="5" t="str">
        <f t="shared" si="3"/>
        <v>완료</v>
      </c>
      <c r="B204" s="5">
        <v>203</v>
      </c>
      <c r="C204" s="5" t="s">
        <v>837</v>
      </c>
      <c r="D204" s="5" t="s">
        <v>477</v>
      </c>
      <c r="E204" s="5" t="s">
        <v>477</v>
      </c>
      <c r="F204" s="5" t="s">
        <v>478</v>
      </c>
      <c r="G204" s="5" t="s">
        <v>444</v>
      </c>
      <c r="H204" s="5" t="s">
        <v>627</v>
      </c>
      <c r="I204" s="7">
        <v>2264</v>
      </c>
      <c r="J204" s="7">
        <v>1476</v>
      </c>
      <c r="K204" s="11">
        <f>IF(I204="","",I204/Config!$B$2*100)</f>
        <v>44.21875</v>
      </c>
      <c r="L204" s="11">
        <f>IF(J204="","",J204/Config!$B$3*100)</f>
        <v>51.249999999999993</v>
      </c>
      <c r="M204" s="5">
        <v>10</v>
      </c>
      <c r="N204" s="6" t="b">
        <v>0</v>
      </c>
      <c r="O204" s="6" t="b">
        <v>0</v>
      </c>
      <c r="P204" s="6" t="b">
        <v>1</v>
      </c>
      <c r="Q204" s="5"/>
      <c r="R204" s="5"/>
    </row>
    <row r="205" spans="1:18" ht="15">
      <c r="A205" s="5" t="str">
        <f t="shared" si="3"/>
        <v>완료</v>
      </c>
      <c r="B205" s="5">
        <v>204</v>
      </c>
      <c r="C205" s="5" t="s">
        <v>838</v>
      </c>
      <c r="D205" s="5" t="s">
        <v>479</v>
      </c>
      <c r="E205" s="5" t="s">
        <v>479</v>
      </c>
      <c r="F205" s="5" t="s">
        <v>480</v>
      </c>
      <c r="G205" s="5" t="s">
        <v>444</v>
      </c>
      <c r="H205" s="5" t="s">
        <v>627</v>
      </c>
      <c r="I205" s="7">
        <v>2372</v>
      </c>
      <c r="J205" s="7">
        <v>1476</v>
      </c>
      <c r="K205" s="11">
        <f>IF(I205="","",I205/Config!$B$2*100)</f>
        <v>46.328125</v>
      </c>
      <c r="L205" s="11">
        <f>IF(J205="","",J205/Config!$B$3*100)</f>
        <v>51.249999999999993</v>
      </c>
      <c r="M205" s="5">
        <v>10</v>
      </c>
      <c r="N205" s="6" t="b">
        <v>0</v>
      </c>
      <c r="O205" s="6" t="b">
        <v>0</v>
      </c>
      <c r="P205" s="6" t="b">
        <v>1</v>
      </c>
      <c r="Q205" s="5"/>
      <c r="R205" s="5"/>
    </row>
    <row r="206" spans="1:18" ht="15">
      <c r="A206" s="5" t="str">
        <f t="shared" si="3"/>
        <v>완료</v>
      </c>
      <c r="B206" s="5">
        <v>205</v>
      </c>
      <c r="C206" s="5" t="s">
        <v>839</v>
      </c>
      <c r="D206" s="5" t="s">
        <v>481</v>
      </c>
      <c r="E206" s="5" t="s">
        <v>481</v>
      </c>
      <c r="F206" s="5" t="s">
        <v>482</v>
      </c>
      <c r="G206" s="5" t="s">
        <v>444</v>
      </c>
      <c r="H206" s="5" t="s">
        <v>627</v>
      </c>
      <c r="I206" s="7">
        <v>2528</v>
      </c>
      <c r="J206" s="7">
        <v>872</v>
      </c>
      <c r="K206" s="11">
        <f>IF(I206="","",I206/Config!$B$2*100)</f>
        <v>49.375</v>
      </c>
      <c r="L206" s="11">
        <f>IF(J206="","",J206/Config!$B$3*100)</f>
        <v>30.277777777777775</v>
      </c>
      <c r="M206" s="5">
        <v>10</v>
      </c>
      <c r="N206" s="6" t="b">
        <v>0</v>
      </c>
      <c r="O206" s="6" t="b">
        <v>0</v>
      </c>
      <c r="P206" s="6" t="b">
        <v>1</v>
      </c>
      <c r="Q206" s="5"/>
      <c r="R206" s="5"/>
    </row>
    <row r="207" spans="1:18" ht="15">
      <c r="A207" s="5" t="str">
        <f t="shared" si="3"/>
        <v>완료</v>
      </c>
      <c r="B207" s="5">
        <v>206</v>
      </c>
      <c r="C207" s="5" t="s">
        <v>840</v>
      </c>
      <c r="D207" s="5" t="s">
        <v>483</v>
      </c>
      <c r="E207" s="5" t="s">
        <v>483</v>
      </c>
      <c r="F207" s="5" t="s">
        <v>484</v>
      </c>
      <c r="G207" s="5" t="s">
        <v>444</v>
      </c>
      <c r="H207" s="5" t="s">
        <v>627</v>
      </c>
      <c r="I207" s="7">
        <v>2528</v>
      </c>
      <c r="J207" s="7">
        <v>768</v>
      </c>
      <c r="K207" s="11">
        <f>IF(I207="","",I207/Config!$B$2*100)</f>
        <v>49.375</v>
      </c>
      <c r="L207" s="11">
        <f>IF(J207="","",J207/Config!$B$3*100)</f>
        <v>26.666666666666668</v>
      </c>
      <c r="M207" s="5">
        <v>10</v>
      </c>
      <c r="N207" s="6" t="b">
        <v>0</v>
      </c>
      <c r="O207" s="6" t="b">
        <v>0</v>
      </c>
      <c r="P207" s="6" t="b">
        <v>1</v>
      </c>
      <c r="Q207" s="5"/>
      <c r="R207" s="5"/>
    </row>
    <row r="208" spans="1:18" ht="15">
      <c r="A208" s="5" t="str">
        <f t="shared" si="3"/>
        <v>완료</v>
      </c>
      <c r="B208" s="5">
        <v>207</v>
      </c>
      <c r="C208" s="5" t="s">
        <v>841</v>
      </c>
      <c r="D208" s="5" t="s">
        <v>485</v>
      </c>
      <c r="E208" s="5" t="s">
        <v>485</v>
      </c>
      <c r="F208" s="5" t="s">
        <v>486</v>
      </c>
      <c r="G208" s="5" t="s">
        <v>444</v>
      </c>
      <c r="H208" s="5" t="s">
        <v>627</v>
      </c>
      <c r="I208" s="7">
        <v>2660</v>
      </c>
      <c r="J208" s="7">
        <v>768</v>
      </c>
      <c r="K208" s="11">
        <f>IF(I208="","",I208/Config!$B$2*100)</f>
        <v>51.953125</v>
      </c>
      <c r="L208" s="11">
        <f>IF(J208="","",J208/Config!$B$3*100)</f>
        <v>26.666666666666668</v>
      </c>
      <c r="M208" s="5">
        <v>10</v>
      </c>
      <c r="N208" s="6" t="b">
        <v>0</v>
      </c>
      <c r="O208" s="6" t="b">
        <v>0</v>
      </c>
      <c r="P208" s="6" t="b">
        <v>1</v>
      </c>
      <c r="Q208" s="5" t="s">
        <v>487</v>
      </c>
      <c r="R208" s="5"/>
    </row>
    <row r="209" spans="1:18" ht="15">
      <c r="A209" s="5" t="str">
        <f t="shared" si="3"/>
        <v>완료</v>
      </c>
      <c r="B209" s="5">
        <v>208</v>
      </c>
      <c r="C209" s="5" t="s">
        <v>842</v>
      </c>
      <c r="D209" s="5" t="s">
        <v>488</v>
      </c>
      <c r="E209" s="5" t="s">
        <v>488</v>
      </c>
      <c r="F209" s="5" t="s">
        <v>489</v>
      </c>
      <c r="G209" s="5" t="s">
        <v>444</v>
      </c>
      <c r="H209" s="5" t="s">
        <v>627</v>
      </c>
      <c r="I209" s="7">
        <v>2792</v>
      </c>
      <c r="J209" s="7">
        <v>768</v>
      </c>
      <c r="K209" s="11">
        <f>IF(I209="","",I209/Config!$B$2*100)</f>
        <v>54.53125</v>
      </c>
      <c r="L209" s="11">
        <f>IF(J209="","",J209/Config!$B$3*100)</f>
        <v>26.666666666666668</v>
      </c>
      <c r="M209" s="5">
        <v>10</v>
      </c>
      <c r="N209" s="6" t="b">
        <v>0</v>
      </c>
      <c r="O209" s="6" t="b">
        <v>0</v>
      </c>
      <c r="P209" s="6" t="b">
        <v>1</v>
      </c>
      <c r="Q209" s="5" t="s">
        <v>490</v>
      </c>
      <c r="R209" s="5"/>
    </row>
    <row r="210" spans="1:18" ht="15">
      <c r="A210" s="5" t="str">
        <f t="shared" si="3"/>
        <v>완료</v>
      </c>
      <c r="B210" s="5">
        <v>209</v>
      </c>
      <c r="C210" s="5" t="s">
        <v>843</v>
      </c>
      <c r="D210" s="5" t="s">
        <v>491</v>
      </c>
      <c r="E210" s="5" t="s">
        <v>491</v>
      </c>
      <c r="F210" s="5" t="s">
        <v>492</v>
      </c>
      <c r="G210" s="5" t="s">
        <v>444</v>
      </c>
      <c r="H210" s="5" t="s">
        <v>627</v>
      </c>
      <c r="I210" s="7">
        <v>2924</v>
      </c>
      <c r="J210" s="7">
        <v>768</v>
      </c>
      <c r="K210" s="11">
        <f>IF(I210="","",I210/Config!$B$2*100)</f>
        <v>57.109374999999993</v>
      </c>
      <c r="L210" s="11">
        <f>IF(J210="","",J210/Config!$B$3*100)</f>
        <v>26.666666666666668</v>
      </c>
      <c r="M210" s="5">
        <v>10</v>
      </c>
      <c r="N210" s="6" t="b">
        <v>0</v>
      </c>
      <c r="O210" s="6" t="b">
        <v>0</v>
      </c>
      <c r="P210" s="6" t="b">
        <v>1</v>
      </c>
      <c r="Q210" s="5"/>
      <c r="R210" s="5"/>
    </row>
    <row r="211" spans="1:18" ht="15">
      <c r="A211" s="5" t="str">
        <f t="shared" si="3"/>
        <v>완료</v>
      </c>
      <c r="B211" s="5">
        <v>210</v>
      </c>
      <c r="C211" s="5" t="s">
        <v>844</v>
      </c>
      <c r="D211" s="5" t="s">
        <v>493</v>
      </c>
      <c r="E211" s="5" t="s">
        <v>493</v>
      </c>
      <c r="F211" s="5" t="s">
        <v>494</v>
      </c>
      <c r="G211" s="5" t="s">
        <v>444</v>
      </c>
      <c r="H211" s="5" t="s">
        <v>627</v>
      </c>
      <c r="I211" s="7">
        <v>3056</v>
      </c>
      <c r="J211" s="7">
        <v>768</v>
      </c>
      <c r="K211" s="11">
        <f>IF(I211="","",I211/Config!$B$2*100)</f>
        <v>59.687500000000007</v>
      </c>
      <c r="L211" s="11">
        <f>IF(J211="","",J211/Config!$B$3*100)</f>
        <v>26.666666666666668</v>
      </c>
      <c r="M211" s="5">
        <v>10</v>
      </c>
      <c r="N211" s="6" t="b">
        <v>0</v>
      </c>
      <c r="O211" s="6" t="b">
        <v>0</v>
      </c>
      <c r="P211" s="6" t="b">
        <v>1</v>
      </c>
      <c r="Q211" s="5"/>
      <c r="R211" s="5"/>
    </row>
    <row r="212" spans="1:18" ht="15">
      <c r="A212" s="5" t="str">
        <f t="shared" si="3"/>
        <v>완료</v>
      </c>
      <c r="B212" s="5">
        <v>211</v>
      </c>
      <c r="C212" s="5" t="s">
        <v>845</v>
      </c>
      <c r="D212" s="5" t="s">
        <v>495</v>
      </c>
      <c r="E212" s="5" t="s">
        <v>495</v>
      </c>
      <c r="F212" s="5" t="s">
        <v>496</v>
      </c>
      <c r="G212" s="5" t="s">
        <v>444</v>
      </c>
      <c r="H212" s="5" t="s">
        <v>627</v>
      </c>
      <c r="I212" s="7">
        <v>3188</v>
      </c>
      <c r="J212" s="7">
        <v>768</v>
      </c>
      <c r="K212" s="11">
        <f>IF(I212="","",I212/Config!$B$2*100)</f>
        <v>62.265625</v>
      </c>
      <c r="L212" s="11">
        <f>IF(J212="","",J212/Config!$B$3*100)</f>
        <v>26.666666666666668</v>
      </c>
      <c r="M212" s="5">
        <v>10</v>
      </c>
      <c r="N212" s="6" t="b">
        <v>0</v>
      </c>
      <c r="O212" s="6" t="b">
        <v>0</v>
      </c>
      <c r="P212" s="6" t="b">
        <v>1</v>
      </c>
      <c r="Q212" s="5"/>
      <c r="R212" s="5"/>
    </row>
    <row r="213" spans="1:18" ht="15">
      <c r="A213" s="5" t="str">
        <f t="shared" si="3"/>
        <v>완료</v>
      </c>
      <c r="B213" s="5">
        <v>212</v>
      </c>
      <c r="C213" s="5" t="s">
        <v>846</v>
      </c>
      <c r="D213" s="5" t="s">
        <v>497</v>
      </c>
      <c r="E213" s="5" t="s">
        <v>497</v>
      </c>
      <c r="F213" s="5" t="s">
        <v>498</v>
      </c>
      <c r="G213" s="5" t="s">
        <v>444</v>
      </c>
      <c r="H213" s="5" t="s">
        <v>627</v>
      </c>
      <c r="I213" s="7">
        <v>3324</v>
      </c>
      <c r="J213" s="7">
        <v>768</v>
      </c>
      <c r="K213" s="11">
        <f>IF(I213="","",I213/Config!$B$2*100)</f>
        <v>64.921875</v>
      </c>
      <c r="L213" s="11">
        <f>IF(J213="","",J213/Config!$B$3*100)</f>
        <v>26.666666666666668</v>
      </c>
      <c r="M213" s="5">
        <v>10</v>
      </c>
      <c r="N213" s="6" t="b">
        <v>0</v>
      </c>
      <c r="O213" s="6" t="b">
        <v>0</v>
      </c>
      <c r="P213" s="6" t="b">
        <v>1</v>
      </c>
      <c r="Q213" s="5"/>
      <c r="R213" s="5"/>
    </row>
    <row r="214" spans="1:18" ht="15">
      <c r="A214" s="5" t="str">
        <f t="shared" si="3"/>
        <v>완료</v>
      </c>
      <c r="B214" s="5">
        <v>213</v>
      </c>
      <c r="C214" s="5" t="s">
        <v>847</v>
      </c>
      <c r="D214" s="5" t="s">
        <v>499</v>
      </c>
      <c r="E214" s="5" t="s">
        <v>499</v>
      </c>
      <c r="F214" s="5" t="s">
        <v>500</v>
      </c>
      <c r="G214" s="5" t="s">
        <v>444</v>
      </c>
      <c r="H214" s="5" t="s">
        <v>627</v>
      </c>
      <c r="I214" s="7">
        <v>3464</v>
      </c>
      <c r="J214" s="7">
        <v>636</v>
      </c>
      <c r="K214" s="11">
        <f>IF(I214="","",I214/Config!$B$2*100)</f>
        <v>67.65625</v>
      </c>
      <c r="L214" s="11">
        <f>IF(J214="","",J214/Config!$B$3*100)</f>
        <v>22.083333333333332</v>
      </c>
      <c r="M214" s="5">
        <v>12</v>
      </c>
      <c r="N214" s="6" t="b">
        <v>1</v>
      </c>
      <c r="O214" s="6" t="b">
        <v>0</v>
      </c>
      <c r="P214" s="6" t="b">
        <v>1</v>
      </c>
      <c r="Q214" s="5"/>
      <c r="R214" s="5"/>
    </row>
    <row r="215" spans="1:18" ht="15">
      <c r="A215" s="5" t="str">
        <f t="shared" si="3"/>
        <v>완료</v>
      </c>
      <c r="B215" s="5">
        <v>214</v>
      </c>
      <c r="C215" s="5" t="s">
        <v>848</v>
      </c>
      <c r="D215" s="5" t="s">
        <v>503</v>
      </c>
      <c r="E215" s="5" t="s">
        <v>503</v>
      </c>
      <c r="F215" s="5" t="s">
        <v>504</v>
      </c>
      <c r="G215" s="5" t="s">
        <v>444</v>
      </c>
      <c r="H215" s="5" t="s">
        <v>627</v>
      </c>
      <c r="I215" s="7">
        <v>3664</v>
      </c>
      <c r="J215" s="7">
        <v>636</v>
      </c>
      <c r="K215" s="11">
        <f>IF(I215="","",I215/Config!$B$2*100)</f>
        <v>71.5625</v>
      </c>
      <c r="L215" s="11">
        <f>IF(J215="","",J215/Config!$B$3*100)</f>
        <v>22.083333333333332</v>
      </c>
      <c r="M215" s="5">
        <v>10</v>
      </c>
      <c r="N215" s="6" t="b">
        <v>0</v>
      </c>
      <c r="O215" s="6" t="b">
        <v>0</v>
      </c>
      <c r="P215" s="6" t="b">
        <v>1</v>
      </c>
      <c r="Q215" s="5"/>
      <c r="R215" s="5"/>
    </row>
    <row r="216" spans="1:18" ht="15">
      <c r="A216" s="5" t="str">
        <f t="shared" si="3"/>
        <v>완료</v>
      </c>
      <c r="B216" s="5">
        <v>215</v>
      </c>
      <c r="C216" s="5" t="s">
        <v>849</v>
      </c>
      <c r="D216" s="5" t="s">
        <v>505</v>
      </c>
      <c r="E216" s="5" t="s">
        <v>505</v>
      </c>
      <c r="F216" s="5" t="s">
        <v>506</v>
      </c>
      <c r="G216" s="5" t="s">
        <v>444</v>
      </c>
      <c r="H216" s="5" t="s">
        <v>627</v>
      </c>
      <c r="I216" s="7">
        <v>3664</v>
      </c>
      <c r="J216" s="7">
        <v>792</v>
      </c>
      <c r="K216" s="11">
        <f>IF(I216="","",I216/Config!$B$2*100)</f>
        <v>71.5625</v>
      </c>
      <c r="L216" s="11">
        <f>IF(J216="","",J216/Config!$B$3*100)</f>
        <v>27.500000000000004</v>
      </c>
      <c r="M216" s="5">
        <v>10</v>
      </c>
      <c r="N216" s="6" t="b">
        <v>0</v>
      </c>
      <c r="O216" s="6" t="b">
        <v>0</v>
      </c>
      <c r="P216" s="6" t="b">
        <v>1</v>
      </c>
      <c r="Q216" s="5"/>
      <c r="R216" s="5"/>
    </row>
    <row r="217" spans="1:18" ht="15">
      <c r="A217" s="5" t="str">
        <f t="shared" si="3"/>
        <v>완료</v>
      </c>
      <c r="B217" s="5">
        <v>216</v>
      </c>
      <c r="C217" s="5" t="s">
        <v>850</v>
      </c>
      <c r="D217" s="5" t="s">
        <v>507</v>
      </c>
      <c r="E217" s="5" t="s">
        <v>507</v>
      </c>
      <c r="F217" s="5" t="s">
        <v>508</v>
      </c>
      <c r="G217" s="5" t="s">
        <v>444</v>
      </c>
      <c r="H217" s="5" t="s">
        <v>627</v>
      </c>
      <c r="I217" s="7">
        <v>3664</v>
      </c>
      <c r="J217" s="7">
        <v>948</v>
      </c>
      <c r="K217" s="11">
        <f>IF(I217="","",I217/Config!$B$2*100)</f>
        <v>71.5625</v>
      </c>
      <c r="L217" s="11">
        <f>IF(J217="","",J217/Config!$B$3*100)</f>
        <v>32.916666666666664</v>
      </c>
      <c r="M217" s="5">
        <v>10</v>
      </c>
      <c r="N217" s="6" t="b">
        <v>0</v>
      </c>
      <c r="O217" s="6" t="b">
        <v>1</v>
      </c>
      <c r="P217" s="6" t="b">
        <v>1</v>
      </c>
      <c r="Q217" s="5"/>
      <c r="R217" s="5"/>
    </row>
    <row r="218" spans="1:18" ht="15">
      <c r="A218" s="5" t="str">
        <f t="shared" si="3"/>
        <v>완료</v>
      </c>
      <c r="B218" s="5">
        <v>217</v>
      </c>
      <c r="C218" s="5" t="s">
        <v>851</v>
      </c>
      <c r="D218" s="5" t="s">
        <v>119</v>
      </c>
      <c r="E218" s="5" t="s">
        <v>119</v>
      </c>
      <c r="F218" s="5" t="s">
        <v>120</v>
      </c>
      <c r="G218" s="5" t="s">
        <v>511</v>
      </c>
      <c r="H218" s="5" t="s">
        <v>627</v>
      </c>
      <c r="I218" s="7">
        <v>2972</v>
      </c>
      <c r="J218" s="7">
        <v>1468</v>
      </c>
      <c r="K218" s="11">
        <f>IF(I218="","",I218/Config!$B$2*100)</f>
        <v>58.046875</v>
      </c>
      <c r="L218" s="11">
        <f>IF(J218="","",J218/Config!$B$3*100)</f>
        <v>50.972222222222221</v>
      </c>
      <c r="M218" s="5">
        <v>12</v>
      </c>
      <c r="N218" s="6" t="b">
        <v>1</v>
      </c>
      <c r="O218" s="6" t="b">
        <v>0</v>
      </c>
      <c r="P218" s="6" t="b">
        <v>0</v>
      </c>
      <c r="Q218" s="5"/>
      <c r="R218" s="5"/>
    </row>
    <row r="219" spans="1:18" ht="15">
      <c r="A219" s="5" t="str">
        <f t="shared" si="3"/>
        <v>완료</v>
      </c>
      <c r="B219" s="5">
        <v>218</v>
      </c>
      <c r="C219" s="5" t="s">
        <v>852</v>
      </c>
      <c r="D219" s="5" t="s">
        <v>167</v>
      </c>
      <c r="E219" s="5" t="s">
        <v>167</v>
      </c>
      <c r="F219" s="5" t="s">
        <v>168</v>
      </c>
      <c r="G219" s="5" t="s">
        <v>511</v>
      </c>
      <c r="H219" s="5" t="s">
        <v>627</v>
      </c>
      <c r="I219" s="7">
        <v>1424</v>
      </c>
      <c r="J219" s="7">
        <v>1964</v>
      </c>
      <c r="K219" s="11">
        <f>IF(I219="","",I219/Config!$B$2*100)</f>
        <v>27.8125</v>
      </c>
      <c r="L219" s="11">
        <f>IF(J219="","",J219/Config!$B$3*100)</f>
        <v>68.194444444444443</v>
      </c>
      <c r="M219" s="5">
        <v>12</v>
      </c>
      <c r="N219" s="6" t="b">
        <v>1</v>
      </c>
      <c r="O219" s="6" t="b">
        <v>0</v>
      </c>
      <c r="P219" s="6" t="b">
        <v>0</v>
      </c>
      <c r="Q219" s="5"/>
      <c r="R219" s="5"/>
    </row>
    <row r="220" spans="1:18" ht="15">
      <c r="A220" s="5" t="str">
        <f t="shared" si="3"/>
        <v>완료</v>
      </c>
      <c r="B220" s="5">
        <v>219</v>
      </c>
      <c r="C220" s="5" t="s">
        <v>853</v>
      </c>
      <c r="D220" s="5" t="s">
        <v>250</v>
      </c>
      <c r="E220" s="5" t="s">
        <v>250</v>
      </c>
      <c r="F220" s="5" t="s">
        <v>251</v>
      </c>
      <c r="G220" s="5" t="s">
        <v>511</v>
      </c>
      <c r="H220" s="5" t="s">
        <v>627</v>
      </c>
      <c r="I220" s="7">
        <v>2480</v>
      </c>
      <c r="J220" s="7">
        <v>1964</v>
      </c>
      <c r="K220" s="11">
        <f>IF(I220="","",I220/Config!$B$2*100)</f>
        <v>48.4375</v>
      </c>
      <c r="L220" s="11">
        <f>IF(J220="","",J220/Config!$B$3*100)</f>
        <v>68.194444444444443</v>
      </c>
      <c r="M220" s="5">
        <v>12</v>
      </c>
      <c r="N220" s="6" t="b">
        <v>1</v>
      </c>
      <c r="O220" s="6" t="b">
        <v>0</v>
      </c>
      <c r="P220" s="6" t="b">
        <v>0</v>
      </c>
      <c r="Q220" s="5"/>
      <c r="R220" s="5"/>
    </row>
    <row r="221" spans="1:18" ht="15">
      <c r="A221" s="5" t="str">
        <f t="shared" si="3"/>
        <v>완료</v>
      </c>
      <c r="B221" s="5">
        <v>220</v>
      </c>
      <c r="C221" s="5" t="s">
        <v>854</v>
      </c>
      <c r="D221" s="5" t="s">
        <v>289</v>
      </c>
      <c r="E221" s="5" t="s">
        <v>289</v>
      </c>
      <c r="F221" s="5" t="s">
        <v>290</v>
      </c>
      <c r="G221" s="5" t="s">
        <v>511</v>
      </c>
      <c r="H221" s="5" t="s">
        <v>627</v>
      </c>
      <c r="I221" s="7">
        <v>3464</v>
      </c>
      <c r="J221" s="7">
        <v>356</v>
      </c>
      <c r="K221" s="11">
        <f>IF(I221="","",I221/Config!$B$2*100)</f>
        <v>67.65625</v>
      </c>
      <c r="L221" s="11">
        <f>IF(J221="","",J221/Config!$B$3*100)</f>
        <v>12.361111111111111</v>
      </c>
      <c r="M221" s="5">
        <v>12</v>
      </c>
      <c r="N221" s="6" t="b">
        <v>1</v>
      </c>
      <c r="O221" s="6" t="b">
        <v>0</v>
      </c>
      <c r="P221" s="6" t="b">
        <v>0</v>
      </c>
      <c r="Q221" s="5"/>
      <c r="R221" s="5"/>
    </row>
    <row r="222" spans="1:18" ht="15">
      <c r="A222" s="5" t="str">
        <f t="shared" si="3"/>
        <v>완료</v>
      </c>
      <c r="B222" s="5">
        <v>221</v>
      </c>
      <c r="C222" s="5" t="s">
        <v>855</v>
      </c>
      <c r="D222" s="5" t="s">
        <v>328</v>
      </c>
      <c r="E222" s="5" t="s">
        <v>328</v>
      </c>
      <c r="F222" s="5" t="s">
        <v>329</v>
      </c>
      <c r="G222" s="5" t="s">
        <v>511</v>
      </c>
      <c r="H222" s="5" t="s">
        <v>627</v>
      </c>
      <c r="I222" s="7">
        <v>2200</v>
      </c>
      <c r="J222" s="7">
        <v>1964</v>
      </c>
      <c r="K222" s="11">
        <f>IF(I222="","",I222/Config!$B$2*100)</f>
        <v>42.96875</v>
      </c>
      <c r="L222" s="11">
        <f>IF(J222="","",J222/Config!$B$3*100)</f>
        <v>68.194444444444443</v>
      </c>
      <c r="M222" s="5">
        <v>12</v>
      </c>
      <c r="N222" s="6" t="b">
        <v>1</v>
      </c>
      <c r="O222" s="6" t="b">
        <v>0</v>
      </c>
      <c r="P222" s="6" t="b">
        <v>0</v>
      </c>
      <c r="Q222" s="5" t="s">
        <v>330</v>
      </c>
      <c r="R222" s="5"/>
    </row>
    <row r="223" spans="1:18" ht="15">
      <c r="A223" s="5" t="str">
        <f t="shared" si="3"/>
        <v>완료</v>
      </c>
      <c r="B223" s="5">
        <v>222</v>
      </c>
      <c r="C223" s="5" t="s">
        <v>856</v>
      </c>
      <c r="D223" s="5" t="s">
        <v>392</v>
      </c>
      <c r="E223" s="5" t="s">
        <v>392</v>
      </c>
      <c r="F223" s="5" t="s">
        <v>393</v>
      </c>
      <c r="G223" s="5" t="s">
        <v>511</v>
      </c>
      <c r="H223" s="5" t="s">
        <v>627</v>
      </c>
      <c r="I223" s="7">
        <v>3192</v>
      </c>
      <c r="J223" s="7">
        <v>1250</v>
      </c>
      <c r="K223" s="11">
        <f>IF(I223="","",I223/Config!$B$2*100)</f>
        <v>62.34375</v>
      </c>
      <c r="L223" s="11">
        <f>IF(J223="","",J223/Config!$B$3*100)</f>
        <v>43.402777777777779</v>
      </c>
      <c r="M223" s="5">
        <v>12</v>
      </c>
      <c r="N223" s="6" t="b">
        <v>1</v>
      </c>
      <c r="O223" s="6" t="b">
        <v>0</v>
      </c>
      <c r="P223" s="6" t="b">
        <v>0</v>
      </c>
      <c r="Q223" s="5"/>
      <c r="R223" s="5"/>
    </row>
    <row r="224" spans="1:18" ht="15">
      <c r="A224" s="5" t="str">
        <f t="shared" si="3"/>
        <v>완료</v>
      </c>
      <c r="B224" s="5">
        <v>223</v>
      </c>
      <c r="C224" s="5" t="s">
        <v>857</v>
      </c>
      <c r="D224" s="5" t="s">
        <v>499</v>
      </c>
      <c r="E224" s="5" t="s">
        <v>499</v>
      </c>
      <c r="F224" s="5" t="s">
        <v>500</v>
      </c>
      <c r="G224" s="5" t="s">
        <v>511</v>
      </c>
      <c r="H224" s="5" t="s">
        <v>627</v>
      </c>
      <c r="I224" s="7">
        <v>3464</v>
      </c>
      <c r="J224" s="7">
        <v>636</v>
      </c>
      <c r="K224" s="11">
        <f>IF(I224="","",I224/Config!$B$2*100)</f>
        <v>67.65625</v>
      </c>
      <c r="L224" s="11">
        <f>IF(J224="","",J224/Config!$B$3*100)</f>
        <v>22.083333333333332</v>
      </c>
      <c r="M224" s="5">
        <v>12</v>
      </c>
      <c r="N224" s="6" t="b">
        <v>1</v>
      </c>
      <c r="O224" s="6" t="b">
        <v>0</v>
      </c>
      <c r="P224" s="6" t="b">
        <v>0</v>
      </c>
      <c r="Q224" s="5"/>
      <c r="R224" s="5"/>
    </row>
    <row r="225" spans="1:18" ht="15">
      <c r="A225" s="5" t="str">
        <f t="shared" si="3"/>
        <v>완료</v>
      </c>
      <c r="B225" s="5">
        <v>224</v>
      </c>
      <c r="C225" s="5" t="s">
        <v>858</v>
      </c>
      <c r="D225" s="5" t="s">
        <v>509</v>
      </c>
      <c r="E225" s="5" t="s">
        <v>509</v>
      </c>
      <c r="F225" s="5" t="s">
        <v>510</v>
      </c>
      <c r="G225" s="5" t="s">
        <v>511</v>
      </c>
      <c r="H225" s="5" t="s">
        <v>627</v>
      </c>
      <c r="I225" s="7">
        <v>3064</v>
      </c>
      <c r="J225" s="7">
        <v>408</v>
      </c>
      <c r="K225" s="11">
        <f>IF(I225="","",I225/Config!$B$2*100)</f>
        <v>59.843749999999993</v>
      </c>
      <c r="L225" s="11">
        <f>IF(J225="","",J225/Config!$B$3*100)</f>
        <v>14.166666666666666</v>
      </c>
      <c r="M225" s="5">
        <v>10</v>
      </c>
      <c r="N225" s="6" t="b">
        <v>0</v>
      </c>
      <c r="O225" s="6" t="b">
        <v>1</v>
      </c>
      <c r="P225" s="6" t="b">
        <v>1</v>
      </c>
      <c r="Q225" s="5"/>
      <c r="R225" s="5"/>
    </row>
    <row r="226" spans="1:18" ht="15">
      <c r="A226" s="5" t="str">
        <f t="shared" si="3"/>
        <v>완료</v>
      </c>
      <c r="B226" s="5">
        <v>225</v>
      </c>
      <c r="C226" s="5" t="s">
        <v>859</v>
      </c>
      <c r="D226" s="5" t="s">
        <v>513</v>
      </c>
      <c r="E226" s="5" t="s">
        <v>513</v>
      </c>
      <c r="F226" s="5" t="s">
        <v>514</v>
      </c>
      <c r="G226" s="5" t="s">
        <v>511</v>
      </c>
      <c r="H226" s="5" t="s">
        <v>627</v>
      </c>
      <c r="I226" s="7">
        <v>3064</v>
      </c>
      <c r="J226" s="7">
        <v>324</v>
      </c>
      <c r="K226" s="11">
        <f>IF(I226="","",I226/Config!$B$2*100)</f>
        <v>59.843749999999993</v>
      </c>
      <c r="L226" s="11">
        <f>IF(J226="","",J226/Config!$B$3*100)</f>
        <v>11.25</v>
      </c>
      <c r="M226" s="5">
        <v>10</v>
      </c>
      <c r="N226" s="6" t="b">
        <v>0</v>
      </c>
      <c r="O226" s="6" t="b">
        <v>0</v>
      </c>
      <c r="P226" s="6" t="b">
        <v>1</v>
      </c>
      <c r="Q226" s="5"/>
      <c r="R226" s="5"/>
    </row>
    <row r="227" spans="1:18" ht="15">
      <c r="A227" s="5" t="str">
        <f t="shared" si="3"/>
        <v>완료</v>
      </c>
      <c r="B227" s="5">
        <v>226</v>
      </c>
      <c r="C227" s="5" t="s">
        <v>860</v>
      </c>
      <c r="D227" s="5" t="s">
        <v>515</v>
      </c>
      <c r="E227" s="5" t="s">
        <v>515</v>
      </c>
      <c r="F227" s="5" t="s">
        <v>516</v>
      </c>
      <c r="G227" s="5" t="s">
        <v>511</v>
      </c>
      <c r="H227" s="5" t="s">
        <v>627</v>
      </c>
      <c r="I227" s="7">
        <v>3064</v>
      </c>
      <c r="J227" s="7">
        <v>240</v>
      </c>
      <c r="K227" s="11">
        <f>IF(I227="","",I227/Config!$B$2*100)</f>
        <v>59.843749999999993</v>
      </c>
      <c r="L227" s="11">
        <f>IF(J227="","",J227/Config!$B$3*100)</f>
        <v>8.3333333333333321</v>
      </c>
      <c r="M227" s="5">
        <v>10</v>
      </c>
      <c r="N227" s="6" t="b">
        <v>0</v>
      </c>
      <c r="O227" s="6" t="b">
        <v>0</v>
      </c>
      <c r="P227" s="6" t="b">
        <v>1</v>
      </c>
      <c r="Q227" s="5"/>
      <c r="R227" s="5"/>
    </row>
    <row r="228" spans="1:18" ht="15">
      <c r="A228" s="5" t="str">
        <f t="shared" si="3"/>
        <v>완료</v>
      </c>
      <c r="B228" s="5">
        <v>227</v>
      </c>
      <c r="C228" s="5" t="s">
        <v>861</v>
      </c>
      <c r="D228" s="5" t="s">
        <v>517</v>
      </c>
      <c r="E228" s="5" t="s">
        <v>517</v>
      </c>
      <c r="F228" s="5" t="s">
        <v>518</v>
      </c>
      <c r="G228" s="5" t="s">
        <v>511</v>
      </c>
      <c r="H228" s="5" t="s">
        <v>627</v>
      </c>
      <c r="I228" s="7">
        <v>3464</v>
      </c>
      <c r="J228" s="7">
        <v>240</v>
      </c>
      <c r="K228" s="11">
        <f>IF(I228="","",I228/Config!$B$2*100)</f>
        <v>67.65625</v>
      </c>
      <c r="L228" s="11">
        <f>IF(J228="","",J228/Config!$B$3*100)</f>
        <v>8.3333333333333321</v>
      </c>
      <c r="M228" s="5">
        <v>10</v>
      </c>
      <c r="N228" s="6" t="b">
        <v>0</v>
      </c>
      <c r="O228" s="6" t="b">
        <v>0</v>
      </c>
      <c r="P228" s="6" t="b">
        <v>1</v>
      </c>
      <c r="Q228" s="5"/>
      <c r="R228" s="5"/>
    </row>
    <row r="229" spans="1:18" ht="15">
      <c r="A229" s="5" t="str">
        <f>IF(OR(I229="",J229=""),"미작업","완료")</f>
        <v>완료</v>
      </c>
      <c r="B229" s="5">
        <v>228</v>
      </c>
      <c r="C229" s="5" t="s">
        <v>862</v>
      </c>
      <c r="D229" s="5" t="s">
        <v>519</v>
      </c>
      <c r="E229" s="5" t="s">
        <v>519</v>
      </c>
      <c r="F229" s="5" t="s">
        <v>520</v>
      </c>
      <c r="G229" s="5" t="s">
        <v>511</v>
      </c>
      <c r="H229" s="5" t="s">
        <v>627</v>
      </c>
      <c r="I229" s="7">
        <v>3464</v>
      </c>
      <c r="J229" s="7">
        <v>426</v>
      </c>
      <c r="K229" s="11">
        <f>IF(I229="","",I229/Config!$B$2*100)</f>
        <v>67.65625</v>
      </c>
      <c r="L229" s="11">
        <f>IF(J229="","",J229/Config!$B$3*100)</f>
        <v>14.791666666666666</v>
      </c>
      <c r="M229" s="5">
        <v>10</v>
      </c>
      <c r="N229" s="6" t="b">
        <v>0</v>
      </c>
      <c r="O229" s="6" t="b">
        <v>0</v>
      </c>
      <c r="P229" s="6" t="b">
        <v>1</v>
      </c>
      <c r="Q229" s="5"/>
      <c r="R229" s="5"/>
    </row>
    <row r="230" spans="1:18" ht="15">
      <c r="A230" s="5" t="str">
        <f>IF(OR(I230="",J230=""),"미작업","완료")</f>
        <v>완료</v>
      </c>
      <c r="B230" s="5">
        <v>229</v>
      </c>
      <c r="C230" s="5" t="s">
        <v>863</v>
      </c>
      <c r="D230" s="5" t="s">
        <v>521</v>
      </c>
      <c r="E230" s="5" t="s">
        <v>521</v>
      </c>
      <c r="F230" s="5" t="s">
        <v>522</v>
      </c>
      <c r="G230" s="5" t="s">
        <v>511</v>
      </c>
      <c r="H230" s="5" t="s">
        <v>627</v>
      </c>
      <c r="I230" s="7">
        <v>3464</v>
      </c>
      <c r="J230" s="7">
        <v>496</v>
      </c>
      <c r="K230" s="11">
        <f>IF(I230="","",I230/Config!$B$2*100)</f>
        <v>67.65625</v>
      </c>
      <c r="L230" s="11">
        <f>IF(J230="","",J230/Config!$B$3*100)</f>
        <v>17.222222222222221</v>
      </c>
      <c r="M230" s="5">
        <v>10</v>
      </c>
      <c r="N230" s="6" t="b">
        <v>0</v>
      </c>
      <c r="O230" s="6" t="b">
        <v>0</v>
      </c>
      <c r="P230" s="6" t="b">
        <v>1</v>
      </c>
      <c r="Q230" s="5"/>
      <c r="R230" s="5"/>
    </row>
    <row r="231" spans="1:18" ht="15">
      <c r="A231" s="5" t="str">
        <f>IF(OR(I231="",J231=""),"미작업","완료")</f>
        <v>완료</v>
      </c>
      <c r="B231" s="5">
        <v>230</v>
      </c>
      <c r="C231" s="5" t="s">
        <v>864</v>
      </c>
      <c r="D231" s="5" t="s">
        <v>523</v>
      </c>
      <c r="E231" s="5" t="s">
        <v>523</v>
      </c>
      <c r="F231" s="5" t="s">
        <v>524</v>
      </c>
      <c r="G231" s="5" t="s">
        <v>511</v>
      </c>
      <c r="H231" s="5" t="s">
        <v>627</v>
      </c>
      <c r="I231" s="7">
        <v>3464</v>
      </c>
      <c r="J231" s="7">
        <v>566</v>
      </c>
      <c r="K231" s="11">
        <f>IF(I231="","",I231/Config!$B$2*100)</f>
        <v>67.65625</v>
      </c>
      <c r="L231" s="11">
        <f>IF(J231="","",J231/Config!$B$3*100)</f>
        <v>19.652777777777779</v>
      </c>
      <c r="M231" s="5">
        <v>10</v>
      </c>
      <c r="N231" s="6" t="b">
        <v>0</v>
      </c>
      <c r="O231" s="6" t="b">
        <v>0</v>
      </c>
      <c r="P231" s="6" t="b">
        <v>1</v>
      </c>
      <c r="Q231" s="5"/>
      <c r="R231" s="5"/>
    </row>
    <row r="232" spans="1:18" ht="15">
      <c r="A232" s="5" t="str">
        <f t="shared" si="3"/>
        <v>완료</v>
      </c>
      <c r="B232" s="5">
        <v>231</v>
      </c>
      <c r="C232" s="5" t="s">
        <v>865</v>
      </c>
      <c r="D232" s="5" t="s">
        <v>525</v>
      </c>
      <c r="E232" s="5" t="s">
        <v>525</v>
      </c>
      <c r="F232" s="5" t="s">
        <v>526</v>
      </c>
      <c r="G232" s="5" t="s">
        <v>511</v>
      </c>
      <c r="H232" s="5" t="s">
        <v>627</v>
      </c>
      <c r="I232" s="7">
        <v>3464</v>
      </c>
      <c r="J232" s="7">
        <v>748</v>
      </c>
      <c r="K232" s="11">
        <f>IF(I232="","",I232/Config!$B$2*100)</f>
        <v>67.65625</v>
      </c>
      <c r="L232" s="11">
        <f>IF(J232="","",J232/Config!$B$3*100)</f>
        <v>25.972222222222225</v>
      </c>
      <c r="M232" s="5">
        <v>10</v>
      </c>
      <c r="N232" s="6" t="b">
        <v>0</v>
      </c>
      <c r="O232" s="6" t="b">
        <v>0</v>
      </c>
      <c r="P232" s="6" t="b">
        <v>1</v>
      </c>
      <c r="Q232" s="5"/>
      <c r="R232" s="5"/>
    </row>
    <row r="233" spans="1:18" ht="15">
      <c r="A233" s="5" t="str">
        <f t="shared" si="3"/>
        <v>완료</v>
      </c>
      <c r="B233" s="5">
        <v>232</v>
      </c>
      <c r="C233" s="5" t="s">
        <v>866</v>
      </c>
      <c r="D233" s="5" t="s">
        <v>527</v>
      </c>
      <c r="E233" s="5" t="s">
        <v>527</v>
      </c>
      <c r="F233" s="5" t="s">
        <v>528</v>
      </c>
      <c r="G233" s="5" t="s">
        <v>511</v>
      </c>
      <c r="H233" s="5" t="s">
        <v>627</v>
      </c>
      <c r="I233" s="7">
        <v>3464</v>
      </c>
      <c r="J233" s="7">
        <v>860</v>
      </c>
      <c r="K233" s="11">
        <f>IF(I233="","",I233/Config!$B$2*100)</f>
        <v>67.65625</v>
      </c>
      <c r="L233" s="11">
        <f>IF(J233="","",J233/Config!$B$3*100)</f>
        <v>29.861111111111111</v>
      </c>
      <c r="M233" s="5">
        <v>10</v>
      </c>
      <c r="N233" s="6" t="b">
        <v>0</v>
      </c>
      <c r="O233" s="6" t="b">
        <v>0</v>
      </c>
      <c r="P233" s="6" t="b">
        <v>1</v>
      </c>
      <c r="Q233" s="5"/>
      <c r="R233" s="5"/>
    </row>
    <row r="234" spans="1:18" ht="15">
      <c r="A234" s="5" t="str">
        <f t="shared" si="3"/>
        <v>완료</v>
      </c>
      <c r="B234" s="5">
        <v>233</v>
      </c>
      <c r="C234" s="5" t="s">
        <v>867</v>
      </c>
      <c r="D234" s="5" t="s">
        <v>529</v>
      </c>
      <c r="E234" s="5" t="s">
        <v>529</v>
      </c>
      <c r="F234" s="5" t="s">
        <v>530</v>
      </c>
      <c r="G234" s="5" t="s">
        <v>511</v>
      </c>
      <c r="H234" s="5" t="s">
        <v>627</v>
      </c>
      <c r="I234" s="7">
        <v>3464</v>
      </c>
      <c r="J234" s="7">
        <v>972</v>
      </c>
      <c r="K234" s="11">
        <f>IF(I234="","",I234/Config!$B$2*100)</f>
        <v>67.65625</v>
      </c>
      <c r="L234" s="11">
        <f>IF(J234="","",J234/Config!$B$3*100)</f>
        <v>33.75</v>
      </c>
      <c r="M234" s="5">
        <v>10</v>
      </c>
      <c r="N234" s="6" t="b">
        <v>0</v>
      </c>
      <c r="O234" s="6" t="b">
        <v>0</v>
      </c>
      <c r="P234" s="6" t="b">
        <v>1</v>
      </c>
      <c r="Q234" s="5"/>
      <c r="R234" s="5"/>
    </row>
    <row r="235" spans="1:18" ht="15">
      <c r="A235" s="5" t="str">
        <f t="shared" si="3"/>
        <v>완료</v>
      </c>
      <c r="B235" s="5">
        <v>234</v>
      </c>
      <c r="C235" s="5" t="s">
        <v>868</v>
      </c>
      <c r="D235" s="5" t="s">
        <v>531</v>
      </c>
      <c r="E235" s="5" t="s">
        <v>531</v>
      </c>
      <c r="F235" s="5" t="s">
        <v>532</v>
      </c>
      <c r="G235" s="5" t="s">
        <v>511</v>
      </c>
      <c r="H235" s="5" t="s">
        <v>627</v>
      </c>
      <c r="I235" s="7">
        <v>3420</v>
      </c>
      <c r="J235" s="7">
        <v>1020</v>
      </c>
      <c r="K235" s="11">
        <f>IF(I235="","",I235/Config!$B$2*100)</f>
        <v>66.796875</v>
      </c>
      <c r="L235" s="11">
        <f>IF(J235="","",J235/Config!$B$3*100)</f>
        <v>35.416666666666671</v>
      </c>
      <c r="M235" s="5">
        <v>10</v>
      </c>
      <c r="N235" s="6" t="b">
        <v>0</v>
      </c>
      <c r="O235" s="6" t="b">
        <v>0</v>
      </c>
      <c r="P235" s="6" t="b">
        <v>1</v>
      </c>
      <c r="Q235" s="5"/>
      <c r="R235" s="5"/>
    </row>
    <row r="236" spans="1:18" ht="15">
      <c r="A236" s="5" t="str">
        <f t="shared" si="3"/>
        <v>완료</v>
      </c>
      <c r="B236" s="5">
        <v>235</v>
      </c>
      <c r="C236" s="5" t="s">
        <v>869</v>
      </c>
      <c r="D236" s="5" t="s">
        <v>533</v>
      </c>
      <c r="E236" s="5" t="s">
        <v>533</v>
      </c>
      <c r="F236" s="5" t="s">
        <v>534</v>
      </c>
      <c r="G236" s="5" t="s">
        <v>511</v>
      </c>
      <c r="H236" s="5" t="s">
        <v>627</v>
      </c>
      <c r="I236" s="7">
        <v>3364</v>
      </c>
      <c r="J236" s="7">
        <v>1078</v>
      </c>
      <c r="K236" s="11">
        <f>IF(I236="","",I236/Config!$B$2*100)</f>
        <v>65.703125</v>
      </c>
      <c r="L236" s="11">
        <f>IF(J236="","",J236/Config!$B$3*100)</f>
        <v>37.430555555555557</v>
      </c>
      <c r="M236" s="5">
        <v>10</v>
      </c>
      <c r="N236" s="6" t="b">
        <v>0</v>
      </c>
      <c r="O236" s="6" t="b">
        <v>0</v>
      </c>
      <c r="P236" s="6" t="b">
        <v>1</v>
      </c>
      <c r="Q236" s="5"/>
      <c r="R236" s="5"/>
    </row>
    <row r="237" spans="1:18" ht="15">
      <c r="A237" s="5" t="str">
        <f t="shared" si="3"/>
        <v>완료</v>
      </c>
      <c r="B237" s="5">
        <v>236</v>
      </c>
      <c r="C237" s="5" t="s">
        <v>870</v>
      </c>
      <c r="D237" s="5" t="s">
        <v>535</v>
      </c>
      <c r="E237" s="5" t="s">
        <v>535</v>
      </c>
      <c r="F237" s="5" t="s">
        <v>536</v>
      </c>
      <c r="G237" s="5" t="s">
        <v>511</v>
      </c>
      <c r="H237" s="5" t="s">
        <v>627</v>
      </c>
      <c r="I237" s="7">
        <v>3304</v>
      </c>
      <c r="J237" s="7">
        <v>1136</v>
      </c>
      <c r="K237" s="11">
        <f>IF(I237="","",I237/Config!$B$2*100)</f>
        <v>64.53125</v>
      </c>
      <c r="L237" s="11">
        <f>IF(J237="","",J237/Config!$B$3*100)</f>
        <v>39.444444444444443</v>
      </c>
      <c r="M237" s="5">
        <v>10</v>
      </c>
      <c r="N237" s="6" t="b">
        <v>0</v>
      </c>
      <c r="O237" s="6" t="b">
        <v>0</v>
      </c>
      <c r="P237" s="6" t="b">
        <v>1</v>
      </c>
      <c r="Q237" s="5"/>
      <c r="R237" s="5"/>
    </row>
    <row r="238" spans="1:18" ht="15">
      <c r="A238" s="5" t="str">
        <f t="shared" si="3"/>
        <v>완료</v>
      </c>
      <c r="B238" s="5">
        <v>237</v>
      </c>
      <c r="C238" s="5" t="s">
        <v>871</v>
      </c>
      <c r="D238" s="5" t="s">
        <v>537</v>
      </c>
      <c r="E238" s="5" t="s">
        <v>537</v>
      </c>
      <c r="F238" s="5" t="s">
        <v>538</v>
      </c>
      <c r="G238" s="5" t="s">
        <v>511</v>
      </c>
      <c r="H238" s="5" t="s">
        <v>627</v>
      </c>
      <c r="I238" s="7">
        <v>3248</v>
      </c>
      <c r="J238" s="7">
        <v>1196</v>
      </c>
      <c r="K238" s="11">
        <f>IF(I238="","",I238/Config!$B$2*100)</f>
        <v>63.4375</v>
      </c>
      <c r="L238" s="11">
        <f>IF(J238="","",J238/Config!$B$3*100)</f>
        <v>41.527777777777779</v>
      </c>
      <c r="M238" s="5">
        <v>10</v>
      </c>
      <c r="N238" s="6" t="b">
        <v>0</v>
      </c>
      <c r="O238" s="6" t="b">
        <v>0</v>
      </c>
      <c r="P238" s="6" t="b">
        <v>1</v>
      </c>
      <c r="Q238" s="5"/>
      <c r="R238" s="5"/>
    </row>
    <row r="239" spans="1:18" ht="15">
      <c r="A239" s="5" t="str">
        <f t="shared" si="3"/>
        <v>완료</v>
      </c>
      <c r="B239" s="5">
        <v>238</v>
      </c>
      <c r="C239" s="5" t="s">
        <v>872</v>
      </c>
      <c r="D239" s="5" t="s">
        <v>539</v>
      </c>
      <c r="E239" s="5" t="s">
        <v>539</v>
      </c>
      <c r="F239" s="5" t="s">
        <v>540</v>
      </c>
      <c r="G239" s="5" t="s">
        <v>511</v>
      </c>
      <c r="H239" s="5" t="s">
        <v>627</v>
      </c>
      <c r="I239" s="7">
        <v>3078</v>
      </c>
      <c r="J239" s="7">
        <v>1364</v>
      </c>
      <c r="K239" s="11">
        <f>IF(I239="","",I239/Config!$B$2*100)</f>
        <v>60.1171875</v>
      </c>
      <c r="L239" s="11">
        <f>IF(J239="","",J239/Config!$B$3*100)</f>
        <v>47.361111111111107</v>
      </c>
      <c r="M239" s="5">
        <v>10</v>
      </c>
      <c r="N239" s="6" t="b">
        <v>0</v>
      </c>
      <c r="O239" s="6" t="b">
        <v>0</v>
      </c>
      <c r="P239" s="6" t="b">
        <v>1</v>
      </c>
      <c r="Q239" s="5"/>
      <c r="R239" s="5"/>
    </row>
    <row r="240" spans="1:18" ht="16.5">
      <c r="A240" s="5" t="str">
        <f t="shared" si="3"/>
        <v>완료</v>
      </c>
      <c r="B240" s="5">
        <v>239</v>
      </c>
      <c r="C240" s="17" t="s">
        <v>1029</v>
      </c>
      <c r="D240" s="18" t="s">
        <v>1030</v>
      </c>
      <c r="E240" s="18" t="s">
        <v>1030</v>
      </c>
      <c r="F240" s="18" t="s">
        <v>1032</v>
      </c>
      <c r="G240" s="5" t="s">
        <v>511</v>
      </c>
      <c r="H240" s="5" t="s">
        <v>627</v>
      </c>
      <c r="I240" s="7">
        <v>2906</v>
      </c>
      <c r="J240" s="7">
        <v>1538</v>
      </c>
      <c r="K240" s="11">
        <f>IF(I240="","",I240/Config!$B$2*100)</f>
        <v>56.757812500000007</v>
      </c>
      <c r="L240" s="11">
        <f>IF(J240="","",J240/Config!$B$3*100)</f>
        <v>53.402777777777779</v>
      </c>
      <c r="M240" s="5">
        <v>10</v>
      </c>
      <c r="N240" s="6" t="b">
        <v>0</v>
      </c>
      <c r="O240" s="6" t="b">
        <v>0</v>
      </c>
      <c r="P240" s="6" t="b">
        <v>1</v>
      </c>
      <c r="Q240" s="5" t="s">
        <v>541</v>
      </c>
      <c r="R240" s="5"/>
    </row>
    <row r="241" spans="1:18" ht="15">
      <c r="A241" s="5" t="str">
        <f t="shared" si="3"/>
        <v>완료</v>
      </c>
      <c r="B241" s="5">
        <v>240</v>
      </c>
      <c r="C241" s="5" t="s">
        <v>873</v>
      </c>
      <c r="D241" s="5" t="s">
        <v>542</v>
      </c>
      <c r="E241" s="5" t="s">
        <v>542</v>
      </c>
      <c r="F241" s="5" t="s">
        <v>543</v>
      </c>
      <c r="G241" s="5" t="s">
        <v>511</v>
      </c>
      <c r="H241" s="5" t="s">
        <v>627</v>
      </c>
      <c r="I241" s="7">
        <v>2846</v>
      </c>
      <c r="J241" s="7">
        <v>1596</v>
      </c>
      <c r="K241" s="11">
        <f>IF(I241="","",I241/Config!$B$2*100)</f>
        <v>55.585937500000007</v>
      </c>
      <c r="L241" s="11">
        <f>IF(J241="","",J241/Config!$B$3*100)</f>
        <v>55.416666666666671</v>
      </c>
      <c r="M241" s="5">
        <v>10</v>
      </c>
      <c r="N241" s="6" t="b">
        <v>0</v>
      </c>
      <c r="O241" s="6" t="b">
        <v>0</v>
      </c>
      <c r="P241" s="6" t="b">
        <v>1</v>
      </c>
      <c r="Q241" s="5"/>
      <c r="R241" s="5"/>
    </row>
    <row r="242" spans="1:18" ht="15">
      <c r="A242" s="5" t="str">
        <f t="shared" si="3"/>
        <v>완료</v>
      </c>
      <c r="B242" s="5">
        <v>241</v>
      </c>
      <c r="C242" s="5" t="s">
        <v>874</v>
      </c>
      <c r="D242" s="5" t="s">
        <v>544</v>
      </c>
      <c r="E242" s="5" t="s">
        <v>544</v>
      </c>
      <c r="F242" s="5" t="s">
        <v>545</v>
      </c>
      <c r="G242" s="5" t="s">
        <v>511</v>
      </c>
      <c r="H242" s="5" t="s">
        <v>627</v>
      </c>
      <c r="I242" s="7">
        <v>2776</v>
      </c>
      <c r="J242" s="7">
        <v>1668</v>
      </c>
      <c r="K242" s="11">
        <f>IF(I242="","",I242/Config!$B$2*100)</f>
        <v>54.218750000000007</v>
      </c>
      <c r="L242" s="11">
        <f>IF(J242="","",J242/Config!$B$3*100)</f>
        <v>57.916666666666671</v>
      </c>
      <c r="M242" s="5">
        <v>10</v>
      </c>
      <c r="N242" s="6" t="b">
        <v>0</v>
      </c>
      <c r="O242" s="6" t="b">
        <v>0</v>
      </c>
      <c r="P242" s="6" t="b">
        <v>1</v>
      </c>
      <c r="Q242" s="5"/>
      <c r="R242" s="5"/>
    </row>
    <row r="243" spans="1:18" ht="15">
      <c r="A243" s="5" t="str">
        <f>IF(OR(I243="",J243=""),"미작업","완료")</f>
        <v>완료</v>
      </c>
      <c r="B243" s="5">
        <v>242</v>
      </c>
      <c r="C243" s="5" t="s">
        <v>875</v>
      </c>
      <c r="D243" s="5" t="s">
        <v>546</v>
      </c>
      <c r="E243" s="5" t="s">
        <v>546</v>
      </c>
      <c r="F243" s="5" t="s">
        <v>547</v>
      </c>
      <c r="G243" s="5" t="s">
        <v>511</v>
      </c>
      <c r="H243" s="5" t="s">
        <v>627</v>
      </c>
      <c r="I243" s="7">
        <v>2696</v>
      </c>
      <c r="J243" s="7">
        <v>1748</v>
      </c>
      <c r="K243" s="11">
        <f>IF(I243="","",I243/Config!$B$2*100)</f>
        <v>52.656250000000007</v>
      </c>
      <c r="L243" s="11">
        <f>IF(J243="","",J243/Config!$B$3*100)</f>
        <v>60.694444444444443</v>
      </c>
      <c r="M243" s="5">
        <v>10</v>
      </c>
      <c r="N243" s="6" t="b">
        <v>0</v>
      </c>
      <c r="O243" s="6" t="b">
        <v>0</v>
      </c>
      <c r="P243" s="6" t="b">
        <v>1</v>
      </c>
      <c r="Q243" s="5"/>
      <c r="R243" s="5"/>
    </row>
    <row r="244" spans="1:18" ht="15">
      <c r="A244" s="5" t="str">
        <f>IF(OR(I244="",J244=""),"미작업","완료")</f>
        <v>완료</v>
      </c>
      <c r="B244" s="5">
        <v>243</v>
      </c>
      <c r="C244" s="5" t="s">
        <v>876</v>
      </c>
      <c r="D244" s="5" t="s">
        <v>548</v>
      </c>
      <c r="E244" s="5" t="s">
        <v>548</v>
      </c>
      <c r="F244" s="5" t="s">
        <v>549</v>
      </c>
      <c r="G244" s="5" t="s">
        <v>511</v>
      </c>
      <c r="H244" s="5" t="s">
        <v>627</v>
      </c>
      <c r="I244" s="7">
        <v>2618</v>
      </c>
      <c r="J244" s="7">
        <v>1826</v>
      </c>
      <c r="K244" s="11">
        <f>IF(I244="","",I244/Config!$B$2*100)</f>
        <v>51.1328125</v>
      </c>
      <c r="L244" s="11">
        <f>IF(J244="","",J244/Config!$B$3*100)</f>
        <v>63.402777777777771</v>
      </c>
      <c r="M244" s="5">
        <v>10</v>
      </c>
      <c r="N244" s="6" t="b">
        <v>0</v>
      </c>
      <c r="O244" s="6" t="b">
        <v>0</v>
      </c>
      <c r="P244" s="6" t="b">
        <v>1</v>
      </c>
      <c r="Q244" s="5"/>
      <c r="R244" s="5"/>
    </row>
    <row r="245" spans="1:18" ht="15">
      <c r="A245" s="5" t="str">
        <f t="shared" si="3"/>
        <v>완료</v>
      </c>
      <c r="B245" s="5">
        <v>244</v>
      </c>
      <c r="C245" s="5" t="s">
        <v>877</v>
      </c>
      <c r="D245" s="5" t="s">
        <v>550</v>
      </c>
      <c r="E245" s="5" t="s">
        <v>550</v>
      </c>
      <c r="F245" s="5" t="s">
        <v>551</v>
      </c>
      <c r="G245" s="5" t="s">
        <v>511</v>
      </c>
      <c r="H245" s="5" t="s">
        <v>627</v>
      </c>
      <c r="I245" s="7">
        <v>2554</v>
      </c>
      <c r="J245" s="7">
        <v>1892</v>
      </c>
      <c r="K245" s="11">
        <f>IF(I245="","",I245/Config!$B$2*100)</f>
        <v>49.8828125</v>
      </c>
      <c r="L245" s="11">
        <f>IF(J245="","",J245/Config!$B$3*100)</f>
        <v>65.694444444444443</v>
      </c>
      <c r="M245" s="5">
        <v>10</v>
      </c>
      <c r="N245" s="6" t="b">
        <v>0</v>
      </c>
      <c r="O245" s="6" t="b">
        <v>0</v>
      </c>
      <c r="P245" s="6" t="b">
        <v>1</v>
      </c>
      <c r="Q245" s="5"/>
      <c r="R245" s="5"/>
    </row>
    <row r="246" spans="1:18" ht="15">
      <c r="A246" s="5" t="str">
        <f t="shared" si="3"/>
        <v>완료</v>
      </c>
      <c r="B246" s="5">
        <v>245</v>
      </c>
      <c r="C246" s="5" t="s">
        <v>878</v>
      </c>
      <c r="D246" s="5" t="s">
        <v>552</v>
      </c>
      <c r="E246" s="5" t="s">
        <v>552</v>
      </c>
      <c r="F246" s="5" t="s">
        <v>553</v>
      </c>
      <c r="G246" s="5" t="s">
        <v>511</v>
      </c>
      <c r="H246" s="5" t="s">
        <v>627</v>
      </c>
      <c r="I246" s="7">
        <v>2340</v>
      </c>
      <c r="J246" s="7">
        <v>1964</v>
      </c>
      <c r="K246" s="11">
        <f>IF(I246="","",I246/Config!$B$2*100)</f>
        <v>45.703125</v>
      </c>
      <c r="L246" s="11">
        <f>IF(J246="","",J246/Config!$B$3*100)</f>
        <v>68.194444444444443</v>
      </c>
      <c r="M246" s="5">
        <v>10</v>
      </c>
      <c r="N246" s="6" t="b">
        <v>0</v>
      </c>
      <c r="O246" s="6" t="b">
        <v>0</v>
      </c>
      <c r="P246" s="6" t="b">
        <v>1</v>
      </c>
      <c r="Q246" s="5"/>
      <c r="R246" s="5"/>
    </row>
    <row r="247" spans="1:18" ht="15">
      <c r="A247" s="5" t="str">
        <f t="shared" si="3"/>
        <v>완료</v>
      </c>
      <c r="B247" s="5">
        <v>246</v>
      </c>
      <c r="C247" s="5" t="s">
        <v>879</v>
      </c>
      <c r="D247" s="5" t="s">
        <v>554</v>
      </c>
      <c r="E247" s="5" t="s">
        <v>554</v>
      </c>
      <c r="F247" s="5" t="s">
        <v>555</v>
      </c>
      <c r="G247" s="5" t="s">
        <v>511</v>
      </c>
      <c r="H247" s="5" t="s">
        <v>627</v>
      </c>
      <c r="I247" s="7">
        <v>2096</v>
      </c>
      <c r="J247" s="7">
        <v>1964</v>
      </c>
      <c r="K247" s="11">
        <f>IF(I247="","",I247/Config!$B$2*100)</f>
        <v>40.9375</v>
      </c>
      <c r="L247" s="11">
        <f>IF(J247="","",J247/Config!$B$3*100)</f>
        <v>68.194444444444443</v>
      </c>
      <c r="M247" s="5">
        <v>10</v>
      </c>
      <c r="N247" s="6" t="b">
        <v>0</v>
      </c>
      <c r="O247" s="6" t="b">
        <v>0</v>
      </c>
      <c r="P247" s="6" t="b">
        <v>1</v>
      </c>
      <c r="Q247" s="5"/>
      <c r="R247" s="5"/>
    </row>
    <row r="248" spans="1:18" ht="15">
      <c r="A248" s="5" t="str">
        <f t="shared" si="3"/>
        <v>완료</v>
      </c>
      <c r="B248" s="5">
        <v>247</v>
      </c>
      <c r="C248" s="5" t="s">
        <v>880</v>
      </c>
      <c r="D248" s="5" t="s">
        <v>556</v>
      </c>
      <c r="E248" s="5" t="s">
        <v>556</v>
      </c>
      <c r="F248" s="5" t="s">
        <v>557</v>
      </c>
      <c r="G248" s="5" t="s">
        <v>511</v>
      </c>
      <c r="H248" s="5" t="s">
        <v>627</v>
      </c>
      <c r="I248" s="7">
        <v>2000</v>
      </c>
      <c r="J248" s="7">
        <v>1964</v>
      </c>
      <c r="K248" s="11">
        <f>IF(I248="","",I248/Config!$B$2*100)</f>
        <v>39.0625</v>
      </c>
      <c r="L248" s="11">
        <f>IF(J248="","",J248/Config!$B$3*100)</f>
        <v>68.194444444444443</v>
      </c>
      <c r="M248" s="5">
        <v>10</v>
      </c>
      <c r="N248" s="6" t="b">
        <v>0</v>
      </c>
      <c r="O248" s="6" t="b">
        <v>0</v>
      </c>
      <c r="P248" s="6" t="b">
        <v>1</v>
      </c>
      <c r="Q248" s="5"/>
      <c r="R248" s="5"/>
    </row>
    <row r="249" spans="1:18" ht="15">
      <c r="A249" s="5" t="str">
        <f t="shared" si="3"/>
        <v>완료</v>
      </c>
      <c r="B249" s="5">
        <v>248</v>
      </c>
      <c r="C249" s="5" t="s">
        <v>881</v>
      </c>
      <c r="D249" s="5" t="s">
        <v>558</v>
      </c>
      <c r="E249" s="5" t="s">
        <v>558</v>
      </c>
      <c r="F249" s="5" t="s">
        <v>559</v>
      </c>
      <c r="G249" s="5" t="s">
        <v>511</v>
      </c>
      <c r="H249" s="5" t="s">
        <v>627</v>
      </c>
      <c r="I249" s="7">
        <v>1904</v>
      </c>
      <c r="J249" s="7">
        <v>1964</v>
      </c>
      <c r="K249" s="11">
        <f>IF(I249="","",I249/Config!$B$2*100)</f>
        <v>37.1875</v>
      </c>
      <c r="L249" s="11">
        <f>IF(J249="","",J249/Config!$B$3*100)</f>
        <v>68.194444444444443</v>
      </c>
      <c r="M249" s="5">
        <v>10</v>
      </c>
      <c r="N249" s="6" t="b">
        <v>0</v>
      </c>
      <c r="O249" s="6" t="b">
        <v>0</v>
      </c>
      <c r="P249" s="6" t="b">
        <v>1</v>
      </c>
      <c r="Q249" s="5"/>
      <c r="R249" s="5"/>
    </row>
    <row r="250" spans="1:18" ht="15">
      <c r="A250" s="5" t="str">
        <f t="shared" si="3"/>
        <v>완료</v>
      </c>
      <c r="B250" s="5">
        <v>249</v>
      </c>
      <c r="C250" s="5" t="s">
        <v>882</v>
      </c>
      <c r="D250" s="5" t="s">
        <v>560</v>
      </c>
      <c r="E250" s="5" t="s">
        <v>560</v>
      </c>
      <c r="F250" s="5" t="s">
        <v>561</v>
      </c>
      <c r="G250" s="5" t="s">
        <v>511</v>
      </c>
      <c r="H250" s="5" t="s">
        <v>627</v>
      </c>
      <c r="I250" s="7">
        <v>1808</v>
      </c>
      <c r="J250" s="7">
        <v>1964</v>
      </c>
      <c r="K250" s="11">
        <f>IF(I250="","",I250/Config!$B$2*100)</f>
        <v>35.3125</v>
      </c>
      <c r="L250" s="11">
        <f>IF(J250="","",J250/Config!$B$3*100)</f>
        <v>68.194444444444443</v>
      </c>
      <c r="M250" s="5">
        <v>10</v>
      </c>
      <c r="N250" s="6" t="b">
        <v>0</v>
      </c>
      <c r="O250" s="6" t="b">
        <v>0</v>
      </c>
      <c r="P250" s="6" t="b">
        <v>1</v>
      </c>
      <c r="Q250" s="5"/>
      <c r="R250" s="5"/>
    </row>
    <row r="251" spans="1:18" ht="15">
      <c r="A251" s="5" t="str">
        <f t="shared" si="3"/>
        <v>완료</v>
      </c>
      <c r="B251" s="5">
        <v>250</v>
      </c>
      <c r="C251" s="5" t="s">
        <v>883</v>
      </c>
      <c r="D251" s="5" t="s">
        <v>562</v>
      </c>
      <c r="E251" s="5" t="s">
        <v>562</v>
      </c>
      <c r="F251" s="5" t="s">
        <v>563</v>
      </c>
      <c r="G251" s="5" t="s">
        <v>511</v>
      </c>
      <c r="H251" s="5" t="s">
        <v>627</v>
      </c>
      <c r="I251" s="7">
        <v>1712</v>
      </c>
      <c r="J251" s="7">
        <v>1964</v>
      </c>
      <c r="K251" s="11">
        <f>IF(I251="","",I251/Config!$B$2*100)</f>
        <v>33.4375</v>
      </c>
      <c r="L251" s="11">
        <f>IF(J251="","",J251/Config!$B$3*100)</f>
        <v>68.194444444444443</v>
      </c>
      <c r="M251" s="5">
        <v>10</v>
      </c>
      <c r="N251" s="6" t="b">
        <v>0</v>
      </c>
      <c r="O251" s="6" t="b">
        <v>0</v>
      </c>
      <c r="P251" s="6" t="b">
        <v>1</v>
      </c>
      <c r="Q251" s="5"/>
      <c r="R251" s="5"/>
    </row>
    <row r="252" spans="1:18" ht="15">
      <c r="A252" s="5" t="str">
        <f t="shared" si="3"/>
        <v>완료</v>
      </c>
      <c r="B252" s="5">
        <v>251</v>
      </c>
      <c r="C252" s="5" t="s">
        <v>884</v>
      </c>
      <c r="D252" s="5" t="s">
        <v>564</v>
      </c>
      <c r="E252" s="5" t="s">
        <v>564</v>
      </c>
      <c r="F252" s="5" t="s">
        <v>565</v>
      </c>
      <c r="G252" s="5" t="s">
        <v>511</v>
      </c>
      <c r="H252" s="5" t="s">
        <v>627</v>
      </c>
      <c r="I252" s="7">
        <v>1616</v>
      </c>
      <c r="J252" s="7">
        <v>1964</v>
      </c>
      <c r="K252" s="11">
        <f>IF(I252="","",I252/Config!$B$2*100)</f>
        <v>31.5625</v>
      </c>
      <c r="L252" s="11">
        <f>IF(J252="","",J252/Config!$B$3*100)</f>
        <v>68.194444444444443</v>
      </c>
      <c r="M252" s="5">
        <v>10</v>
      </c>
      <c r="N252" s="6" t="b">
        <v>0</v>
      </c>
      <c r="O252" s="6" t="b">
        <v>0</v>
      </c>
      <c r="P252" s="6" t="b">
        <v>1</v>
      </c>
      <c r="Q252" s="5"/>
      <c r="R252" s="5"/>
    </row>
    <row r="253" spans="1:18" ht="15">
      <c r="A253" s="5" t="str">
        <f t="shared" si="3"/>
        <v>완료</v>
      </c>
      <c r="B253" s="5">
        <v>252</v>
      </c>
      <c r="C253" s="5" t="s">
        <v>885</v>
      </c>
      <c r="D253" s="5" t="s">
        <v>566</v>
      </c>
      <c r="E253" s="5" t="s">
        <v>566</v>
      </c>
      <c r="F253" s="5" t="s">
        <v>567</v>
      </c>
      <c r="G253" s="5" t="s">
        <v>511</v>
      </c>
      <c r="H253" s="5" t="s">
        <v>627</v>
      </c>
      <c r="I253" s="7">
        <v>1520</v>
      </c>
      <c r="J253" s="7">
        <v>1964</v>
      </c>
      <c r="K253" s="11">
        <f>IF(I253="","",I253/Config!$B$2*100)</f>
        <v>29.6875</v>
      </c>
      <c r="L253" s="11">
        <f>IF(J253="","",J253/Config!$B$3*100)</f>
        <v>68.194444444444443</v>
      </c>
      <c r="M253" s="5">
        <v>10</v>
      </c>
      <c r="N253" s="6" t="b">
        <v>0</v>
      </c>
      <c r="O253" s="6" t="b">
        <v>0</v>
      </c>
      <c r="P253" s="6" t="b">
        <v>1</v>
      </c>
      <c r="Q253" s="5"/>
      <c r="R253" s="5"/>
    </row>
    <row r="254" spans="1:18" ht="15">
      <c r="A254" s="5" t="str">
        <f t="shared" si="3"/>
        <v>완료</v>
      </c>
      <c r="B254" s="5">
        <v>253</v>
      </c>
      <c r="C254" s="5" t="s">
        <v>886</v>
      </c>
      <c r="D254" s="5" t="s">
        <v>568</v>
      </c>
      <c r="E254" s="5" t="s">
        <v>568</v>
      </c>
      <c r="F254" s="5" t="s">
        <v>569</v>
      </c>
      <c r="G254" s="5" t="s">
        <v>511</v>
      </c>
      <c r="H254" s="5" t="s">
        <v>627</v>
      </c>
      <c r="I254" s="7">
        <v>1340</v>
      </c>
      <c r="J254" s="7">
        <v>1964</v>
      </c>
      <c r="K254" s="11">
        <f>IF(I254="","",I254/Config!$B$2*100)</f>
        <v>26.171875</v>
      </c>
      <c r="L254" s="11">
        <f>IF(J254="","",J254/Config!$B$3*100)</f>
        <v>68.194444444444443</v>
      </c>
      <c r="M254" s="5">
        <v>10</v>
      </c>
      <c r="N254" s="6" t="b">
        <v>0</v>
      </c>
      <c r="O254" s="6" t="b">
        <v>0</v>
      </c>
      <c r="P254" s="6" t="b">
        <v>1</v>
      </c>
      <c r="Q254" s="5"/>
      <c r="R254" s="5"/>
    </row>
    <row r="255" spans="1:18" ht="15">
      <c r="A255" s="5" t="str">
        <f t="shared" si="3"/>
        <v>완료</v>
      </c>
      <c r="B255" s="5">
        <v>254</v>
      </c>
      <c r="C255" s="5" t="s">
        <v>887</v>
      </c>
      <c r="D255" s="5" t="s">
        <v>570</v>
      </c>
      <c r="E255" s="5" t="s">
        <v>570</v>
      </c>
      <c r="F255" s="5" t="s">
        <v>571</v>
      </c>
      <c r="G255" s="5" t="s">
        <v>511</v>
      </c>
      <c r="H255" s="5" t="s">
        <v>627</v>
      </c>
      <c r="I255" s="7">
        <v>1260</v>
      </c>
      <c r="J255" s="7">
        <v>1964</v>
      </c>
      <c r="K255" s="11">
        <f>IF(I255="","",I255/Config!$B$2*100)</f>
        <v>24.609375</v>
      </c>
      <c r="L255" s="11">
        <f>IF(J255="","",J255/Config!$B$3*100)</f>
        <v>68.194444444444443</v>
      </c>
      <c r="M255" s="5">
        <v>10</v>
      </c>
      <c r="N255" s="6" t="b">
        <v>0</v>
      </c>
      <c r="O255" s="6" t="b">
        <v>0</v>
      </c>
      <c r="P255" s="6" t="b">
        <v>1</v>
      </c>
      <c r="Q255" s="5"/>
      <c r="R255" s="5"/>
    </row>
    <row r="256" spans="1:18" ht="15">
      <c r="A256" s="5" t="str">
        <f t="shared" si="3"/>
        <v>완료</v>
      </c>
      <c r="B256" s="5">
        <v>255</v>
      </c>
      <c r="C256" s="5" t="s">
        <v>888</v>
      </c>
      <c r="D256" s="5" t="s">
        <v>572</v>
      </c>
      <c r="E256" s="5" t="s">
        <v>572</v>
      </c>
      <c r="F256" s="5" t="s">
        <v>573</v>
      </c>
      <c r="G256" s="5" t="s">
        <v>511</v>
      </c>
      <c r="H256" s="5" t="s">
        <v>627</v>
      </c>
      <c r="I256" s="7">
        <v>1172</v>
      </c>
      <c r="J256" s="7">
        <v>1964</v>
      </c>
      <c r="K256" s="11">
        <f>IF(I256="","",I256/Config!$B$2*100)</f>
        <v>22.890625</v>
      </c>
      <c r="L256" s="11">
        <f>IF(J256="","",J256/Config!$B$3*100)</f>
        <v>68.194444444444443</v>
      </c>
      <c r="M256" s="5">
        <v>10</v>
      </c>
      <c r="N256" s="6" t="b">
        <v>0</v>
      </c>
      <c r="O256" s="6" t="b">
        <v>0</v>
      </c>
      <c r="P256" s="6" t="b">
        <v>1</v>
      </c>
      <c r="Q256" s="5"/>
      <c r="R256" s="5"/>
    </row>
    <row r="257" spans="1:18" ht="15">
      <c r="A257" s="5" t="str">
        <f t="shared" si="3"/>
        <v>완료</v>
      </c>
      <c r="B257" s="5">
        <v>256</v>
      </c>
      <c r="C257" s="5" t="s">
        <v>889</v>
      </c>
      <c r="D257" s="5" t="s">
        <v>574</v>
      </c>
      <c r="E257" s="5" t="s">
        <v>574</v>
      </c>
      <c r="F257" s="5" t="s">
        <v>575</v>
      </c>
      <c r="G257" s="5" t="s">
        <v>511</v>
      </c>
      <c r="H257" s="5" t="s">
        <v>627</v>
      </c>
      <c r="I257" s="7">
        <v>1084</v>
      </c>
      <c r="J257" s="7">
        <v>1964</v>
      </c>
      <c r="K257" s="11">
        <f>IF(I257="","",I257/Config!$B$2*100)</f>
        <v>21.171875</v>
      </c>
      <c r="L257" s="11">
        <f>IF(J257="","",J257/Config!$B$3*100)</f>
        <v>68.194444444444443</v>
      </c>
      <c r="M257" s="5">
        <v>10</v>
      </c>
      <c r="N257" s="6" t="b">
        <v>0</v>
      </c>
      <c r="O257" s="6" t="b">
        <v>0</v>
      </c>
      <c r="P257" s="6" t="b">
        <v>1</v>
      </c>
      <c r="Q257" s="5"/>
      <c r="R257" s="5"/>
    </row>
    <row r="258" spans="1:18" ht="15">
      <c r="A258" s="5" t="str">
        <f t="shared" ref="A258:A278" si="4">IF(OR(I258="",J258=""),"미작업","완료")</f>
        <v>완료</v>
      </c>
      <c r="B258" s="5">
        <v>257</v>
      </c>
      <c r="C258" s="5" t="s">
        <v>890</v>
      </c>
      <c r="D258" s="5" t="s">
        <v>576</v>
      </c>
      <c r="E258" s="5" t="s">
        <v>576</v>
      </c>
      <c r="F258" s="5" t="s">
        <v>577</v>
      </c>
      <c r="G258" s="5" t="s">
        <v>511</v>
      </c>
      <c r="H258" s="5" t="s">
        <v>627</v>
      </c>
      <c r="I258" s="7">
        <v>996</v>
      </c>
      <c r="J258" s="7">
        <v>1964</v>
      </c>
      <c r="K258" s="11">
        <f>IF(I258="","",I258/Config!$B$2*100)</f>
        <v>19.453125</v>
      </c>
      <c r="L258" s="11">
        <f>IF(J258="","",J258/Config!$B$3*100)</f>
        <v>68.194444444444443</v>
      </c>
      <c r="M258" s="5">
        <v>10</v>
      </c>
      <c r="N258" s="6" t="b">
        <v>0</v>
      </c>
      <c r="O258" s="6" t="b">
        <v>0</v>
      </c>
      <c r="P258" s="6" t="b">
        <v>1</v>
      </c>
      <c r="Q258" s="5"/>
      <c r="R258" s="5"/>
    </row>
    <row r="259" spans="1:18" ht="15">
      <c r="A259" s="5" t="str">
        <f t="shared" si="4"/>
        <v>완료</v>
      </c>
      <c r="B259" s="5">
        <v>258</v>
      </c>
      <c r="C259" s="5" t="s">
        <v>891</v>
      </c>
      <c r="D259" s="5" t="s">
        <v>578</v>
      </c>
      <c r="E259" s="5" t="s">
        <v>578</v>
      </c>
      <c r="F259" s="5" t="s">
        <v>579</v>
      </c>
      <c r="G259" s="5" t="s">
        <v>511</v>
      </c>
      <c r="H259" s="5" t="s">
        <v>627</v>
      </c>
      <c r="I259" s="7">
        <v>996</v>
      </c>
      <c r="J259" s="7">
        <v>1820</v>
      </c>
      <c r="K259" s="11">
        <f>IF(I259="","",I259/Config!$B$2*100)</f>
        <v>19.453125</v>
      </c>
      <c r="L259" s="11">
        <f>IF(J259="","",J259/Config!$B$3*100)</f>
        <v>63.194444444444443</v>
      </c>
      <c r="M259" s="5">
        <v>10</v>
      </c>
      <c r="N259" s="6" t="b">
        <v>0</v>
      </c>
      <c r="O259" s="6" t="b">
        <v>1</v>
      </c>
      <c r="P259" s="6" t="b">
        <v>1</v>
      </c>
      <c r="Q259" s="5"/>
      <c r="R259" s="5"/>
    </row>
    <row r="260" spans="1:18" ht="15">
      <c r="A260" s="5" t="str">
        <f t="shared" si="4"/>
        <v>완료</v>
      </c>
      <c r="B260" s="5">
        <v>259</v>
      </c>
      <c r="C260" s="5" t="s">
        <v>892</v>
      </c>
      <c r="D260" s="5" t="s">
        <v>129</v>
      </c>
      <c r="E260" s="5" t="s">
        <v>129</v>
      </c>
      <c r="F260" s="5" t="s">
        <v>130</v>
      </c>
      <c r="G260" s="5" t="s">
        <v>582</v>
      </c>
      <c r="H260" s="5" t="s">
        <v>627</v>
      </c>
      <c r="I260" s="7">
        <v>2972</v>
      </c>
      <c r="J260" s="7">
        <v>1800</v>
      </c>
      <c r="K260" s="11">
        <f>IF(I260="","",I260/Config!$B$2*100)</f>
        <v>58.046875</v>
      </c>
      <c r="L260" s="11">
        <f>IF(J260="","",J260/Config!$B$3*100)</f>
        <v>62.5</v>
      </c>
      <c r="M260" s="5">
        <v>12</v>
      </c>
      <c r="N260" s="6" t="b">
        <v>1</v>
      </c>
      <c r="O260" s="6" t="b">
        <v>0</v>
      </c>
      <c r="P260" s="6" t="b">
        <v>0</v>
      </c>
      <c r="Q260" s="5"/>
      <c r="R260" s="5"/>
    </row>
    <row r="261" spans="1:18" ht="15">
      <c r="A261" s="5" t="str">
        <f t="shared" si="4"/>
        <v>완료</v>
      </c>
      <c r="B261" s="5">
        <v>260</v>
      </c>
      <c r="C261" s="5" t="s">
        <v>893</v>
      </c>
      <c r="D261" s="5" t="s">
        <v>272</v>
      </c>
      <c r="E261" s="5" t="s">
        <v>272</v>
      </c>
      <c r="F261" s="5" t="s">
        <v>273</v>
      </c>
      <c r="G261" s="5" t="s">
        <v>582</v>
      </c>
      <c r="H261" s="5" t="s">
        <v>627</v>
      </c>
      <c r="I261" s="7">
        <v>3300</v>
      </c>
      <c r="J261" s="7">
        <v>2140</v>
      </c>
      <c r="K261" s="11">
        <f>IF(I261="","",I261/Config!$B$2*100)</f>
        <v>64.453125</v>
      </c>
      <c r="L261" s="11">
        <f>IF(J261="","",J261/Config!$B$3*100)</f>
        <v>74.305555555555557</v>
      </c>
      <c r="M261" s="5">
        <v>12</v>
      </c>
      <c r="N261" s="6" t="b">
        <v>1</v>
      </c>
      <c r="O261" s="6" t="b">
        <v>0</v>
      </c>
      <c r="P261" s="6" t="b">
        <v>0</v>
      </c>
      <c r="Q261" s="5"/>
      <c r="R261" s="5"/>
    </row>
    <row r="262" spans="1:18" ht="15">
      <c r="A262" s="5" t="str">
        <f t="shared" si="4"/>
        <v>완료</v>
      </c>
      <c r="B262" s="5">
        <v>261</v>
      </c>
      <c r="C262" s="5" t="s">
        <v>894</v>
      </c>
      <c r="D262" s="5" t="s">
        <v>400</v>
      </c>
      <c r="E262" s="5" t="s">
        <v>400</v>
      </c>
      <c r="F262" s="5" t="s">
        <v>401</v>
      </c>
      <c r="G262" s="5" t="s">
        <v>582</v>
      </c>
      <c r="H262" s="5" t="s">
        <v>627</v>
      </c>
      <c r="I262" s="7">
        <v>3340</v>
      </c>
      <c r="J262" s="7">
        <v>1636</v>
      </c>
      <c r="K262" s="11">
        <f>IF(I262="","",I262/Config!$B$2*100)</f>
        <v>65.234375</v>
      </c>
      <c r="L262" s="11">
        <f>IF(J262="","",J262/Config!$B$3*100)</f>
        <v>56.805555555555557</v>
      </c>
      <c r="M262" s="5">
        <v>12</v>
      </c>
      <c r="N262" s="6" t="b">
        <v>1</v>
      </c>
      <c r="O262" s="6" t="b">
        <v>0</v>
      </c>
      <c r="P262" s="6" t="b">
        <v>0</v>
      </c>
      <c r="Q262" s="5"/>
      <c r="R262" s="5"/>
    </row>
    <row r="263" spans="1:18" ht="15">
      <c r="A263" s="5" t="str">
        <f t="shared" si="4"/>
        <v>완료</v>
      </c>
      <c r="B263" s="5">
        <v>262</v>
      </c>
      <c r="C263" s="5" t="s">
        <v>895</v>
      </c>
      <c r="D263" s="5" t="s">
        <v>580</v>
      </c>
      <c r="E263" s="5" t="s">
        <v>580</v>
      </c>
      <c r="F263" s="5" t="s">
        <v>581</v>
      </c>
      <c r="G263" s="5" t="s">
        <v>582</v>
      </c>
      <c r="H263" s="5" t="s">
        <v>627</v>
      </c>
      <c r="I263" s="7">
        <v>3556</v>
      </c>
      <c r="J263" s="7">
        <v>1636</v>
      </c>
      <c r="K263" s="11">
        <f>IF(I263="","",I263/Config!$B$2*100)</f>
        <v>69.453125</v>
      </c>
      <c r="L263" s="11">
        <f>IF(J263="","",J263/Config!$B$3*100)</f>
        <v>56.805555555555557</v>
      </c>
      <c r="M263" s="5">
        <v>10</v>
      </c>
      <c r="N263" s="6" t="b">
        <v>0</v>
      </c>
      <c r="O263" s="6" t="b">
        <v>1</v>
      </c>
      <c r="P263" s="6" t="b">
        <v>1</v>
      </c>
      <c r="Q263" s="5"/>
      <c r="R263" s="5"/>
    </row>
    <row r="264" spans="1:18" ht="15">
      <c r="A264" s="5" t="str">
        <f t="shared" si="4"/>
        <v>완료</v>
      </c>
      <c r="B264" s="5">
        <v>263</v>
      </c>
      <c r="C264" s="5" t="s">
        <v>896</v>
      </c>
      <c r="D264" s="5" t="s">
        <v>584</v>
      </c>
      <c r="E264" s="5" t="s">
        <v>584</v>
      </c>
      <c r="F264" s="5" t="s">
        <v>585</v>
      </c>
      <c r="G264" s="5" t="s">
        <v>582</v>
      </c>
      <c r="H264" s="5" t="s">
        <v>627</v>
      </c>
      <c r="I264" s="7">
        <v>3464</v>
      </c>
      <c r="J264" s="7">
        <v>1636</v>
      </c>
      <c r="K264" s="11">
        <f>IF(I264="","",I264/Config!$B$2*100)</f>
        <v>67.65625</v>
      </c>
      <c r="L264" s="11">
        <f>IF(J264="","",J264/Config!$B$3*100)</f>
        <v>56.805555555555557</v>
      </c>
      <c r="M264" s="5">
        <v>10</v>
      </c>
      <c r="N264" s="6" t="b">
        <v>0</v>
      </c>
      <c r="O264" s="6" t="b">
        <v>0</v>
      </c>
      <c r="P264" s="6" t="b">
        <v>1</v>
      </c>
      <c r="Q264" s="5"/>
      <c r="R264" s="5"/>
    </row>
    <row r="265" spans="1:18" ht="15">
      <c r="A265" s="5" t="str">
        <f t="shared" si="4"/>
        <v>완료</v>
      </c>
      <c r="B265" s="5">
        <v>264</v>
      </c>
      <c r="C265" s="5" t="s">
        <v>897</v>
      </c>
      <c r="D265" s="5" t="s">
        <v>586</v>
      </c>
      <c r="E265" s="5" t="s">
        <v>586</v>
      </c>
      <c r="F265" s="5" t="s">
        <v>587</v>
      </c>
      <c r="G265" s="5" t="s">
        <v>582</v>
      </c>
      <c r="H265" s="5" t="s">
        <v>627</v>
      </c>
      <c r="I265" s="7">
        <v>3240</v>
      </c>
      <c r="J265" s="7">
        <v>1636</v>
      </c>
      <c r="K265" s="11">
        <f>IF(I265="","",I265/Config!$B$2*100)</f>
        <v>63.28125</v>
      </c>
      <c r="L265" s="11">
        <f>IF(J265="","",J265/Config!$B$3*100)</f>
        <v>56.805555555555557</v>
      </c>
      <c r="M265" s="5">
        <v>10</v>
      </c>
      <c r="N265" s="6" t="b">
        <v>0</v>
      </c>
      <c r="O265" s="6" t="b">
        <v>0</v>
      </c>
      <c r="P265" s="6" t="b">
        <v>1</v>
      </c>
      <c r="Q265" s="5"/>
      <c r="R265" s="5"/>
    </row>
    <row r="266" spans="1:18" ht="15">
      <c r="A266" s="5" t="str">
        <f t="shared" si="4"/>
        <v>완료</v>
      </c>
      <c r="B266" s="5">
        <v>265</v>
      </c>
      <c r="C266" s="5" t="s">
        <v>898</v>
      </c>
      <c r="D266" s="5" t="s">
        <v>588</v>
      </c>
      <c r="E266" s="5" t="s">
        <v>588</v>
      </c>
      <c r="F266" s="5" t="s">
        <v>589</v>
      </c>
      <c r="G266" s="5" t="s">
        <v>582</v>
      </c>
      <c r="H266" s="5" t="s">
        <v>627</v>
      </c>
      <c r="I266" s="7">
        <v>3140</v>
      </c>
      <c r="J266" s="7">
        <v>1636</v>
      </c>
      <c r="K266" s="11">
        <f>IF(I266="","",I266/Config!$B$2*100)</f>
        <v>61.328125</v>
      </c>
      <c r="L266" s="11">
        <f>IF(J266="","",J266/Config!$B$3*100)</f>
        <v>56.805555555555557</v>
      </c>
      <c r="M266" s="5">
        <v>10</v>
      </c>
      <c r="N266" s="6" t="b">
        <v>0</v>
      </c>
      <c r="O266" s="6" t="b">
        <v>0</v>
      </c>
      <c r="P266" s="6" t="b">
        <v>1</v>
      </c>
      <c r="Q266" s="5"/>
      <c r="R266" s="5"/>
    </row>
    <row r="267" spans="1:18" ht="15">
      <c r="A267" s="5" t="str">
        <f t="shared" si="4"/>
        <v>완료</v>
      </c>
      <c r="B267" s="5">
        <v>266</v>
      </c>
      <c r="C267" s="5" t="s">
        <v>899</v>
      </c>
      <c r="D267" s="5" t="s">
        <v>590</v>
      </c>
      <c r="E267" s="5" t="s">
        <v>590</v>
      </c>
      <c r="F267" s="5" t="s">
        <v>591</v>
      </c>
      <c r="G267" s="5" t="s">
        <v>582</v>
      </c>
      <c r="H267" s="5" t="s">
        <v>627</v>
      </c>
      <c r="I267" s="7">
        <v>3130</v>
      </c>
      <c r="J267" s="7">
        <v>1964</v>
      </c>
      <c r="K267" s="11">
        <f>IF(I267="","",I267/Config!$B$2*100)</f>
        <v>61.1328125</v>
      </c>
      <c r="L267" s="11">
        <f>IF(J267="","",J267/Config!$B$3*100)</f>
        <v>68.194444444444443</v>
      </c>
      <c r="M267" s="5">
        <v>10</v>
      </c>
      <c r="N267" s="6" t="b">
        <v>0</v>
      </c>
      <c r="O267" s="6" t="b">
        <v>0</v>
      </c>
      <c r="P267" s="6" t="b">
        <v>1</v>
      </c>
      <c r="Q267" s="5"/>
      <c r="R267" s="5"/>
    </row>
    <row r="268" spans="1:18" ht="15">
      <c r="A268" s="5" t="str">
        <f t="shared" si="4"/>
        <v>완료</v>
      </c>
      <c r="B268" s="5">
        <v>267</v>
      </c>
      <c r="C268" s="5" t="s">
        <v>900</v>
      </c>
      <c r="D268" s="5" t="s">
        <v>592</v>
      </c>
      <c r="E268" s="5" t="s">
        <v>592</v>
      </c>
      <c r="F268" s="5" t="s">
        <v>593</v>
      </c>
      <c r="G268" s="5" t="s">
        <v>582</v>
      </c>
      <c r="H268" s="5" t="s">
        <v>627</v>
      </c>
      <c r="I268" s="7">
        <v>3216</v>
      </c>
      <c r="J268" s="7">
        <v>2052</v>
      </c>
      <c r="K268" s="11">
        <f>IF(I268="","",I268/Config!$B$2*100)</f>
        <v>62.812500000000007</v>
      </c>
      <c r="L268" s="11">
        <f>IF(J268="","",J268/Config!$B$3*100)</f>
        <v>71.25</v>
      </c>
      <c r="M268" s="5">
        <v>10</v>
      </c>
      <c r="N268" s="6" t="b">
        <v>0</v>
      </c>
      <c r="O268" s="6" t="b">
        <v>0</v>
      </c>
      <c r="P268" s="6" t="b">
        <v>1</v>
      </c>
      <c r="Q268" s="5"/>
      <c r="R268" s="5"/>
    </row>
    <row r="269" spans="1:18" ht="15">
      <c r="A269" s="5" t="str">
        <f t="shared" si="4"/>
        <v>완료</v>
      </c>
      <c r="B269" s="5">
        <v>268</v>
      </c>
      <c r="C269" s="5" t="s">
        <v>901</v>
      </c>
      <c r="D269" s="5" t="s">
        <v>594</v>
      </c>
      <c r="E269" s="5" t="s">
        <v>594</v>
      </c>
      <c r="F269" s="5" t="s">
        <v>595</v>
      </c>
      <c r="G269" s="5" t="s">
        <v>582</v>
      </c>
      <c r="H269" s="5" t="s">
        <v>627</v>
      </c>
      <c r="I269" s="7">
        <v>3360</v>
      </c>
      <c r="J269" s="7">
        <v>2204</v>
      </c>
      <c r="K269" s="11">
        <f>IF(I269="","",I269/Config!$B$2*100)</f>
        <v>65.625</v>
      </c>
      <c r="L269" s="11">
        <f>IF(J269="","",J269/Config!$B$3*100)</f>
        <v>76.527777777777771</v>
      </c>
      <c r="M269" s="5">
        <v>10</v>
      </c>
      <c r="N269" s="6" t="b">
        <v>0</v>
      </c>
      <c r="O269" s="6" t="b">
        <v>0</v>
      </c>
      <c r="P269" s="6" t="b">
        <v>1</v>
      </c>
      <c r="Q269" s="5"/>
      <c r="R269" s="5"/>
    </row>
    <row r="270" spans="1:18" ht="15">
      <c r="A270" s="5" t="str">
        <f t="shared" si="4"/>
        <v>완료</v>
      </c>
      <c r="B270" s="5">
        <v>269</v>
      </c>
      <c r="C270" s="5" t="s">
        <v>902</v>
      </c>
      <c r="D270" s="5" t="s">
        <v>596</v>
      </c>
      <c r="E270" s="5" t="s">
        <v>596</v>
      </c>
      <c r="F270" s="5" t="s">
        <v>597</v>
      </c>
      <c r="G270" s="5" t="s">
        <v>582</v>
      </c>
      <c r="H270" s="5" t="s">
        <v>627</v>
      </c>
      <c r="I270" s="7">
        <v>3420</v>
      </c>
      <c r="J270" s="7">
        <v>2264</v>
      </c>
      <c r="K270" s="11">
        <f>IF(I270="","",I270/Config!$B$2*100)</f>
        <v>66.796875</v>
      </c>
      <c r="L270" s="11">
        <f>IF(J270="","",J270/Config!$B$3*100)</f>
        <v>78.611111111111114</v>
      </c>
      <c r="M270" s="5">
        <v>10</v>
      </c>
      <c r="N270" s="6" t="b">
        <v>0</v>
      </c>
      <c r="O270" s="6" t="b">
        <v>0</v>
      </c>
      <c r="P270" s="6" t="b">
        <v>1</v>
      </c>
      <c r="Q270" s="5"/>
      <c r="R270" s="5"/>
    </row>
    <row r="271" spans="1:18" ht="15">
      <c r="A271" s="5" t="str">
        <f t="shared" si="4"/>
        <v>완료</v>
      </c>
      <c r="B271" s="5">
        <v>270</v>
      </c>
      <c r="C271" s="5" t="s">
        <v>903</v>
      </c>
      <c r="D271" s="5" t="s">
        <v>598</v>
      </c>
      <c r="E271" s="5" t="s">
        <v>598</v>
      </c>
      <c r="F271" s="5" t="s">
        <v>599</v>
      </c>
      <c r="G271" s="5" t="s">
        <v>582</v>
      </c>
      <c r="H271" s="5" t="s">
        <v>627</v>
      </c>
      <c r="I271" s="7">
        <v>3480</v>
      </c>
      <c r="J271" s="7">
        <v>2328</v>
      </c>
      <c r="K271" s="11">
        <f>IF(I271="","",I271/Config!$B$2*100)</f>
        <v>67.96875</v>
      </c>
      <c r="L271" s="11">
        <f>IF(J271="","",J271/Config!$B$3*100)</f>
        <v>80.833333333333329</v>
      </c>
      <c r="M271" s="5">
        <v>10</v>
      </c>
      <c r="N271" s="6" t="b">
        <v>0</v>
      </c>
      <c r="O271" s="6" t="b">
        <v>0</v>
      </c>
      <c r="P271" s="6" t="b">
        <v>1</v>
      </c>
      <c r="Q271" s="5"/>
      <c r="R271" s="5"/>
    </row>
    <row r="272" spans="1:18" ht="15">
      <c r="A272" s="5" t="str">
        <f t="shared" si="4"/>
        <v>완료</v>
      </c>
      <c r="B272" s="5">
        <v>271</v>
      </c>
      <c r="C272" s="5" t="s">
        <v>904</v>
      </c>
      <c r="D272" s="5" t="s">
        <v>600</v>
      </c>
      <c r="E272" s="5" t="s">
        <v>600</v>
      </c>
      <c r="F272" s="5" t="s">
        <v>601</v>
      </c>
      <c r="G272" s="5" t="s">
        <v>582</v>
      </c>
      <c r="H272" s="5" t="s">
        <v>627</v>
      </c>
      <c r="I272" s="7">
        <v>3628</v>
      </c>
      <c r="J272" s="7">
        <v>2328</v>
      </c>
      <c r="K272" s="11">
        <f>IF(I272="","",I272/Config!$B$2*100)</f>
        <v>70.859375</v>
      </c>
      <c r="L272" s="11">
        <f>IF(J272="","",J272/Config!$B$3*100)</f>
        <v>80.833333333333329</v>
      </c>
      <c r="M272" s="5">
        <v>10</v>
      </c>
      <c r="N272" s="6" t="b">
        <v>0</v>
      </c>
      <c r="O272" s="6" t="b">
        <v>0</v>
      </c>
      <c r="P272" s="6" t="b">
        <v>1</v>
      </c>
      <c r="Q272" s="5"/>
      <c r="R272" s="5"/>
    </row>
    <row r="273" spans="1:18" ht="15">
      <c r="A273" s="5" t="str">
        <f t="shared" si="4"/>
        <v>완료</v>
      </c>
      <c r="B273" s="5">
        <v>272</v>
      </c>
      <c r="C273" s="5" t="s">
        <v>905</v>
      </c>
      <c r="D273" s="5" t="s">
        <v>602</v>
      </c>
      <c r="E273" s="5" t="s">
        <v>602</v>
      </c>
      <c r="F273" s="5" t="s">
        <v>603</v>
      </c>
      <c r="G273" s="5" t="s">
        <v>582</v>
      </c>
      <c r="H273" s="5" t="s">
        <v>627</v>
      </c>
      <c r="I273" s="7">
        <v>3768</v>
      </c>
      <c r="J273" s="7">
        <v>2328</v>
      </c>
      <c r="K273" s="11">
        <f>IF(I273="","",I273/Config!$B$2*100)</f>
        <v>73.59375</v>
      </c>
      <c r="L273" s="11">
        <f>IF(J273="","",J273/Config!$B$3*100)</f>
        <v>80.833333333333329</v>
      </c>
      <c r="M273" s="5">
        <v>10</v>
      </c>
      <c r="N273" s="6" t="b">
        <v>0</v>
      </c>
      <c r="O273" s="6" t="b">
        <v>0</v>
      </c>
      <c r="P273" s="6" t="b">
        <v>1</v>
      </c>
      <c r="Q273" s="5"/>
      <c r="R273" s="5"/>
    </row>
    <row r="274" spans="1:18" ht="15">
      <c r="A274" s="5" t="str">
        <f t="shared" si="4"/>
        <v>완료</v>
      </c>
      <c r="B274" s="5">
        <v>273</v>
      </c>
      <c r="C274" s="5" t="s">
        <v>906</v>
      </c>
      <c r="D274" s="5" t="s">
        <v>604</v>
      </c>
      <c r="E274" s="5" t="s">
        <v>604</v>
      </c>
      <c r="F274" s="5" t="s">
        <v>605</v>
      </c>
      <c r="G274" s="5" t="s">
        <v>582</v>
      </c>
      <c r="H274" s="5" t="s">
        <v>627</v>
      </c>
      <c r="I274" s="7">
        <v>3768</v>
      </c>
      <c r="J274" s="7">
        <v>2436</v>
      </c>
      <c r="K274" s="11">
        <f>IF(I274="","",I274/Config!$B$2*100)</f>
        <v>73.59375</v>
      </c>
      <c r="L274" s="11">
        <f>IF(J274="","",J274/Config!$B$3*100)</f>
        <v>84.583333333333329</v>
      </c>
      <c r="M274" s="5">
        <v>10</v>
      </c>
      <c r="N274" s="6" t="b">
        <v>0</v>
      </c>
      <c r="O274" s="6" t="b">
        <v>0</v>
      </c>
      <c r="P274" s="6" t="b">
        <v>1</v>
      </c>
      <c r="Q274" s="5"/>
      <c r="R274" s="5"/>
    </row>
    <row r="275" spans="1:18" ht="15">
      <c r="A275" s="5" t="str">
        <f t="shared" si="4"/>
        <v>완료</v>
      </c>
      <c r="B275" s="5">
        <v>274</v>
      </c>
      <c r="C275" s="5" t="s">
        <v>907</v>
      </c>
      <c r="D275" s="5" t="s">
        <v>606</v>
      </c>
      <c r="E275" s="5" t="s">
        <v>606</v>
      </c>
      <c r="F275" s="5" t="s">
        <v>607</v>
      </c>
      <c r="G275" s="5" t="s">
        <v>582</v>
      </c>
      <c r="H275" s="5" t="s">
        <v>627</v>
      </c>
      <c r="I275" s="7">
        <v>3768</v>
      </c>
      <c r="J275" s="7">
        <v>2544</v>
      </c>
      <c r="K275" s="11">
        <f>IF(I275="","",I275/Config!$B$2*100)</f>
        <v>73.59375</v>
      </c>
      <c r="L275" s="11">
        <f>IF(J275="","",J275/Config!$B$3*100)</f>
        <v>88.333333333333329</v>
      </c>
      <c r="M275" s="5">
        <v>10</v>
      </c>
      <c r="N275" s="6" t="b">
        <v>0</v>
      </c>
      <c r="O275" s="6" t="b">
        <v>0</v>
      </c>
      <c r="P275" s="6" t="b">
        <v>1</v>
      </c>
      <c r="Q275" s="5"/>
      <c r="R275" s="5"/>
    </row>
    <row r="276" spans="1:18" ht="15">
      <c r="A276" s="5" t="str">
        <f t="shared" si="4"/>
        <v>완료</v>
      </c>
      <c r="B276" s="5">
        <v>275</v>
      </c>
      <c r="C276" s="5" t="s">
        <v>908</v>
      </c>
      <c r="D276" s="5" t="s">
        <v>608</v>
      </c>
      <c r="E276" s="5" t="s">
        <v>608</v>
      </c>
      <c r="F276" s="5" t="s">
        <v>609</v>
      </c>
      <c r="G276" s="5" t="s">
        <v>582</v>
      </c>
      <c r="H276" s="5" t="s">
        <v>627</v>
      </c>
      <c r="I276" s="7">
        <v>3768</v>
      </c>
      <c r="J276" s="7">
        <v>2652</v>
      </c>
      <c r="K276" s="11">
        <f>IF(I276="","",I276/Config!$B$2*100)</f>
        <v>73.59375</v>
      </c>
      <c r="L276" s="11">
        <f>IF(J276="","",J276/Config!$B$3*100)</f>
        <v>92.083333333333329</v>
      </c>
      <c r="M276" s="5">
        <v>10</v>
      </c>
      <c r="N276" s="6" t="b">
        <v>0</v>
      </c>
      <c r="O276" s="6" t="b">
        <v>0</v>
      </c>
      <c r="P276" s="6" t="b">
        <v>1</v>
      </c>
      <c r="Q276" s="5"/>
      <c r="R276" s="5"/>
    </row>
    <row r="277" spans="1:18" ht="15">
      <c r="A277" s="5" t="str">
        <f t="shared" si="4"/>
        <v>완료</v>
      </c>
      <c r="B277" s="5">
        <v>276</v>
      </c>
      <c r="C277" s="5" t="s">
        <v>909</v>
      </c>
      <c r="D277" s="5" t="s">
        <v>610</v>
      </c>
      <c r="E277" s="5" t="s">
        <v>610</v>
      </c>
      <c r="F277" s="5" t="s">
        <v>611</v>
      </c>
      <c r="G277" s="5" t="s">
        <v>582</v>
      </c>
      <c r="H277" s="5" t="s">
        <v>627</v>
      </c>
      <c r="I277" s="7">
        <v>3580</v>
      </c>
      <c r="J277" s="7">
        <v>2652</v>
      </c>
      <c r="K277" s="11">
        <f>IF(I277="","",I277/Config!$B$2*100)</f>
        <v>69.921875</v>
      </c>
      <c r="L277" s="11">
        <f>IF(J277="","",J277/Config!$B$3*100)</f>
        <v>92.083333333333329</v>
      </c>
      <c r="M277" s="5">
        <v>10</v>
      </c>
      <c r="N277" s="6" t="b">
        <v>0</v>
      </c>
      <c r="O277" s="6" t="b">
        <v>0</v>
      </c>
      <c r="P277" s="6" t="b">
        <v>1</v>
      </c>
      <c r="Q277" s="5"/>
      <c r="R277" s="5"/>
    </row>
    <row r="278" spans="1:18" ht="15">
      <c r="A278" s="5" t="str">
        <f t="shared" si="4"/>
        <v>완료</v>
      </c>
      <c r="B278" s="5">
        <v>277</v>
      </c>
      <c r="C278" s="5" t="s">
        <v>910</v>
      </c>
      <c r="D278" s="5" t="s">
        <v>612</v>
      </c>
      <c r="E278" s="5" t="s">
        <v>612</v>
      </c>
      <c r="F278" s="5" t="s">
        <v>613</v>
      </c>
      <c r="G278" s="5" t="s">
        <v>582</v>
      </c>
      <c r="H278" s="5" t="s">
        <v>627</v>
      </c>
      <c r="I278" s="7">
        <v>3392</v>
      </c>
      <c r="J278" s="7">
        <v>2652</v>
      </c>
      <c r="K278" s="11">
        <f>IF(I278="","",I278/Config!$B$2*100)</f>
        <v>66.25</v>
      </c>
      <c r="L278" s="11">
        <f>IF(J278="","",J278/Config!$B$3*100)</f>
        <v>92.083333333333329</v>
      </c>
      <c r="M278" s="5">
        <v>10</v>
      </c>
      <c r="N278" s="6" t="b">
        <v>0</v>
      </c>
      <c r="O278" s="6" t="b">
        <v>1</v>
      </c>
      <c r="P278" s="6" t="b">
        <v>1</v>
      </c>
      <c r="Q278" s="5"/>
      <c r="R278" s="5"/>
    </row>
  </sheetData>
  <phoneticPr fontId="8" type="noConversion"/>
  <conditionalFormatting sqref="A2:A278">
    <cfRule type="expression" dxfId="5" priority="1">
      <formula>A2="완료"</formula>
    </cfRule>
    <cfRule type="expression" dxfId="4" priority="2">
      <formula>A2="미작업"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41"/>
  <sheetViews>
    <sheetView workbookViewId="0"/>
  </sheetViews>
  <sheetFormatPr defaultRowHeight="14.25"/>
  <cols>
    <col min="1" max="1" width="12" customWidth="1"/>
    <col min="2" max="3" width="18" customWidth="1"/>
    <col min="4" max="4" width="24" customWidth="1"/>
    <col min="5" max="5" width="15" customWidth="1"/>
    <col min="6" max="9" width="13" customWidth="1"/>
    <col min="10" max="10" width="16" customWidth="1"/>
    <col min="11" max="11" width="12" customWidth="1"/>
    <col min="12" max="12" width="28" customWidth="1"/>
    <col min="13" max="13" width="36" customWidth="1"/>
  </cols>
  <sheetData>
    <row r="1" spans="1:26" ht="27.95" customHeight="1">
      <c r="A1" s="12" t="s">
        <v>614</v>
      </c>
      <c r="B1" s="12" t="s">
        <v>46</v>
      </c>
      <c r="C1" s="12" t="s">
        <v>47</v>
      </c>
      <c r="D1" s="12" t="s">
        <v>48</v>
      </c>
      <c r="E1" s="12" t="s">
        <v>49</v>
      </c>
      <c r="F1" s="15" t="s">
        <v>911</v>
      </c>
      <c r="G1" s="15" t="s">
        <v>912</v>
      </c>
      <c r="H1" s="12" t="s">
        <v>913</v>
      </c>
      <c r="I1" s="12" t="s">
        <v>914</v>
      </c>
      <c r="J1" s="12" t="s">
        <v>915</v>
      </c>
      <c r="K1" s="12" t="s">
        <v>916</v>
      </c>
      <c r="L1" s="12" t="s">
        <v>917</v>
      </c>
      <c r="M1" s="12" t="s">
        <v>918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">
      <c r="A2" s="5" t="str">
        <f t="shared" ref="A2:A65" si="0">IF(OR(F2="",G2=""),"미작업","완료")</f>
        <v>완료</v>
      </c>
      <c r="B2" s="5" t="s">
        <v>56</v>
      </c>
      <c r="C2" s="5" t="s">
        <v>56</v>
      </c>
      <c r="D2" s="5" t="s">
        <v>56</v>
      </c>
      <c r="E2" s="5" t="s">
        <v>57</v>
      </c>
      <c r="F2" s="8">
        <f>IFERROR(AVERAGEIF(Station_Visual_Nodes!$D:$D,B2,Station_Visual_Nodes!$I:$I),"")</f>
        <v>1916</v>
      </c>
      <c r="G2" s="8">
        <f>IFERROR(AVERAGEIF(Station_Visual_Nodes!$D:$D,B2,Station_Visual_Nodes!$J:$J),"")</f>
        <v>1308</v>
      </c>
      <c r="H2" s="11">
        <f>IF(F2="","",F2/Config!$B$2*100)</f>
        <v>37.421875</v>
      </c>
      <c r="I2" s="11">
        <f>IF(G2="","",G2/Config!$B$3*100)</f>
        <v>45.416666666666664</v>
      </c>
      <c r="J2" s="5">
        <v>42</v>
      </c>
      <c r="K2" s="5" t="s">
        <v>919</v>
      </c>
      <c r="L2" s="5" t="s">
        <v>920</v>
      </c>
      <c r="M2" s="5"/>
    </row>
    <row r="3" spans="1:26" ht="15">
      <c r="A3" s="5" t="str">
        <f t="shared" si="0"/>
        <v>완료</v>
      </c>
      <c r="B3" s="5" t="s">
        <v>59</v>
      </c>
      <c r="C3" s="5" t="s">
        <v>59</v>
      </c>
      <c r="D3" s="5" t="s">
        <v>60</v>
      </c>
      <c r="E3" s="5" t="s">
        <v>61</v>
      </c>
      <c r="F3" s="8">
        <f>IFERROR(AVERAGEIF(Station_Visual_Nodes!$D:$D,B3,Station_Visual_Nodes!$I:$I),"")</f>
        <v>1916</v>
      </c>
      <c r="G3" s="8">
        <f>IFERROR(AVERAGEIF(Station_Visual_Nodes!$D:$D,B3,Station_Visual_Nodes!$J:$J),"")</f>
        <v>1144</v>
      </c>
      <c r="H3" s="11">
        <f>IF(F3="","",F3/Config!$B$2*100)</f>
        <v>37.421875</v>
      </c>
      <c r="I3" s="11">
        <f>IF(G3="","",G3/Config!$B$3*100)</f>
        <v>39.722222222222221</v>
      </c>
      <c r="J3" s="5">
        <v>42</v>
      </c>
      <c r="K3" s="5" t="s">
        <v>919</v>
      </c>
      <c r="L3" s="5" t="s">
        <v>920</v>
      </c>
      <c r="M3" s="5"/>
    </row>
    <row r="4" spans="1:26" ht="15">
      <c r="A4" s="5" t="str">
        <f t="shared" si="0"/>
        <v>완료</v>
      </c>
      <c r="B4" s="5" t="s">
        <v>63</v>
      </c>
      <c r="C4" s="5" t="s">
        <v>63</v>
      </c>
      <c r="D4" s="5" t="s">
        <v>64</v>
      </c>
      <c r="E4" s="5" t="s">
        <v>65</v>
      </c>
      <c r="F4" s="8">
        <f>IFERROR(AVERAGEIF(Station_Visual_Nodes!$D:$D,B4,Station_Visual_Nodes!$I:$I),"")</f>
        <v>1916</v>
      </c>
      <c r="G4" s="8">
        <f>IFERROR(AVERAGEIF(Station_Visual_Nodes!$D:$D,B4,Station_Visual_Nodes!$J:$J),"")</f>
        <v>1048</v>
      </c>
      <c r="H4" s="11">
        <f>IF(F4="","",F4/Config!$B$2*100)</f>
        <v>37.421875</v>
      </c>
      <c r="I4" s="11">
        <f>IF(G4="","",G4/Config!$B$3*100)</f>
        <v>36.388888888888886</v>
      </c>
      <c r="J4" s="5">
        <v>24</v>
      </c>
      <c r="K4" s="5" t="s">
        <v>919</v>
      </c>
      <c r="L4" s="5" t="s">
        <v>920</v>
      </c>
      <c r="M4" s="5"/>
    </row>
    <row r="5" spans="1:26" ht="15">
      <c r="A5" s="5" t="str">
        <f t="shared" si="0"/>
        <v>완료</v>
      </c>
      <c r="B5" s="5" t="s">
        <v>67</v>
      </c>
      <c r="C5" s="5" t="s">
        <v>67</v>
      </c>
      <c r="D5" s="5" t="s">
        <v>68</v>
      </c>
      <c r="E5" s="5" t="s">
        <v>69</v>
      </c>
      <c r="F5" s="8">
        <f>IFERROR(AVERAGEIF(Station_Visual_Nodes!$D:$D,B5,Station_Visual_Nodes!$I:$I),"")</f>
        <v>2084</v>
      </c>
      <c r="G5" s="8">
        <f>IFERROR(AVERAGEIF(Station_Visual_Nodes!$D:$D,B5,Station_Visual_Nodes!$J:$J),"")</f>
        <v>980</v>
      </c>
      <c r="H5" s="11">
        <f>IF(F5="","",F5/Config!$B$2*100)</f>
        <v>40.703125</v>
      </c>
      <c r="I5" s="11">
        <f>IF(G5="","",G5/Config!$B$3*100)</f>
        <v>34.027777777777779</v>
      </c>
      <c r="J5" s="5">
        <v>52</v>
      </c>
      <c r="K5" s="5" t="s">
        <v>919</v>
      </c>
      <c r="L5" s="5" t="s">
        <v>920</v>
      </c>
      <c r="M5" s="5"/>
    </row>
    <row r="6" spans="1:26" ht="15">
      <c r="A6" s="5" t="str">
        <f t="shared" si="0"/>
        <v>완료</v>
      </c>
      <c r="B6" s="5" t="s">
        <v>71</v>
      </c>
      <c r="C6" s="5" t="s">
        <v>71</v>
      </c>
      <c r="D6" s="5" t="s">
        <v>72</v>
      </c>
      <c r="E6" s="5" t="s">
        <v>65</v>
      </c>
      <c r="F6" s="8">
        <f>IFERROR(AVERAGEIF(Station_Visual_Nodes!$D:$D,B6,Station_Visual_Nodes!$I:$I),"")</f>
        <v>2240</v>
      </c>
      <c r="G6" s="8">
        <f>IFERROR(AVERAGEIF(Station_Visual_Nodes!$D:$D,B6,Station_Visual_Nodes!$J:$J),"")</f>
        <v>980</v>
      </c>
      <c r="H6" s="11">
        <f>IF(F6="","",F6/Config!$B$2*100)</f>
        <v>43.75</v>
      </c>
      <c r="I6" s="11">
        <f>IF(G6="","",G6/Config!$B$3*100)</f>
        <v>34.027777777777779</v>
      </c>
      <c r="J6" s="5">
        <v>24</v>
      </c>
      <c r="K6" s="5" t="s">
        <v>919</v>
      </c>
      <c r="L6" s="5" t="s">
        <v>920</v>
      </c>
      <c r="M6" s="5"/>
    </row>
    <row r="7" spans="1:26" ht="15">
      <c r="A7" s="5" t="str">
        <f t="shared" si="0"/>
        <v>완료</v>
      </c>
      <c r="B7" s="5" t="s">
        <v>73</v>
      </c>
      <c r="C7" s="5" t="s">
        <v>73</v>
      </c>
      <c r="D7" s="5" t="s">
        <v>74</v>
      </c>
      <c r="E7" s="5" t="s">
        <v>57</v>
      </c>
      <c r="F7" s="8">
        <f>IFERROR(AVERAGEIF(Station_Visual_Nodes!$D:$D,B7,Station_Visual_Nodes!$I:$I),"")</f>
        <v>2328</v>
      </c>
      <c r="G7" s="8">
        <f>IFERROR(AVERAGEIF(Station_Visual_Nodes!$D:$D,B7,Station_Visual_Nodes!$J:$J),"")</f>
        <v>980</v>
      </c>
      <c r="H7" s="11">
        <f>IF(F7="","",F7/Config!$B$2*100)</f>
        <v>45.46875</v>
      </c>
      <c r="I7" s="11">
        <f>IF(G7="","",G7/Config!$B$3*100)</f>
        <v>34.027777777777779</v>
      </c>
      <c r="J7" s="5">
        <v>42</v>
      </c>
      <c r="K7" s="5" t="s">
        <v>919</v>
      </c>
      <c r="L7" s="5" t="s">
        <v>920</v>
      </c>
      <c r="M7" s="5"/>
    </row>
    <row r="8" spans="1:26" ht="15">
      <c r="A8" s="5" t="str">
        <f t="shared" si="0"/>
        <v>완료</v>
      </c>
      <c r="B8" s="5" t="s">
        <v>75</v>
      </c>
      <c r="C8" s="5" t="s">
        <v>75</v>
      </c>
      <c r="D8" s="5" t="s">
        <v>76</v>
      </c>
      <c r="E8" s="5" t="s">
        <v>77</v>
      </c>
      <c r="F8" s="8">
        <f>IFERROR(AVERAGEIF(Station_Visual_Nodes!$D:$D,B8,Station_Visual_Nodes!$I:$I),"")</f>
        <v>2528</v>
      </c>
      <c r="G8" s="8">
        <f>IFERROR(AVERAGEIF(Station_Visual_Nodes!$D:$D,B8,Station_Visual_Nodes!$J:$J),"")</f>
        <v>980</v>
      </c>
      <c r="H8" s="11">
        <f>IF(F8="","",F8/Config!$B$2*100)</f>
        <v>49.375</v>
      </c>
      <c r="I8" s="11">
        <f>IF(G8="","",G8/Config!$B$3*100)</f>
        <v>34.027777777777779</v>
      </c>
      <c r="J8" s="5">
        <v>42</v>
      </c>
      <c r="K8" s="5" t="s">
        <v>919</v>
      </c>
      <c r="L8" s="5" t="s">
        <v>920</v>
      </c>
      <c r="M8" s="5"/>
    </row>
    <row r="9" spans="1:26" ht="15">
      <c r="A9" s="5" t="str">
        <f t="shared" si="0"/>
        <v>완료</v>
      </c>
      <c r="B9" s="5" t="s">
        <v>79</v>
      </c>
      <c r="C9" s="5" t="s">
        <v>79</v>
      </c>
      <c r="D9" s="5" t="s">
        <v>80</v>
      </c>
      <c r="E9" s="5" t="s">
        <v>61</v>
      </c>
      <c r="F9" s="8">
        <f>IFERROR(AVERAGEIF(Station_Visual_Nodes!$D:$D,B9,Station_Visual_Nodes!$I:$I),"")</f>
        <v>2712</v>
      </c>
      <c r="G9" s="8">
        <f>IFERROR(AVERAGEIF(Station_Visual_Nodes!$D:$D,B9,Station_Visual_Nodes!$J:$J),"")</f>
        <v>980</v>
      </c>
      <c r="H9" s="11">
        <f>IF(F9="","",F9/Config!$B$2*100)</f>
        <v>52.96875</v>
      </c>
      <c r="I9" s="11">
        <f>IF(G9="","",G9/Config!$B$3*100)</f>
        <v>34.027777777777779</v>
      </c>
      <c r="J9" s="5">
        <v>42</v>
      </c>
      <c r="K9" s="5" t="s">
        <v>919</v>
      </c>
      <c r="L9" s="5" t="s">
        <v>920</v>
      </c>
      <c r="M9" s="5"/>
    </row>
    <row r="10" spans="1:26" ht="15">
      <c r="A10" s="5" t="str">
        <f t="shared" si="0"/>
        <v>완료</v>
      </c>
      <c r="B10" s="5" t="s">
        <v>82</v>
      </c>
      <c r="C10" s="5" t="s">
        <v>82</v>
      </c>
      <c r="D10" s="5" t="s">
        <v>83</v>
      </c>
      <c r="E10" s="5" t="s">
        <v>65</v>
      </c>
      <c r="F10" s="8">
        <f>IFERROR(AVERAGEIF(Station_Visual_Nodes!$D:$D,B10,Station_Visual_Nodes!$I:$I),"")</f>
        <v>2864</v>
      </c>
      <c r="G10" s="8">
        <f>IFERROR(AVERAGEIF(Station_Visual_Nodes!$D:$D,B10,Station_Visual_Nodes!$J:$J),"")</f>
        <v>980</v>
      </c>
      <c r="H10" s="11">
        <f>IF(F10="","",F10/Config!$B$2*100)</f>
        <v>55.937499999999993</v>
      </c>
      <c r="I10" s="11">
        <f>IF(G10="","",G10/Config!$B$3*100)</f>
        <v>34.027777777777779</v>
      </c>
      <c r="J10" s="5">
        <v>24</v>
      </c>
      <c r="K10" s="5" t="s">
        <v>919</v>
      </c>
      <c r="L10" s="5" t="s">
        <v>920</v>
      </c>
      <c r="M10" s="5"/>
    </row>
    <row r="11" spans="1:26" ht="15">
      <c r="A11" s="5" t="str">
        <f t="shared" si="0"/>
        <v>완료</v>
      </c>
      <c r="B11" s="5" t="s">
        <v>84</v>
      </c>
      <c r="C11" s="5" t="s">
        <v>84</v>
      </c>
      <c r="D11" s="5" t="s">
        <v>85</v>
      </c>
      <c r="E11" s="5" t="s">
        <v>65</v>
      </c>
      <c r="F11" s="8">
        <f>IFERROR(AVERAGEIF(Station_Visual_Nodes!$D:$D,B11,Station_Visual_Nodes!$I:$I),"")</f>
        <v>3020</v>
      </c>
      <c r="G11" s="8">
        <f>IFERROR(AVERAGEIF(Station_Visual_Nodes!$D:$D,B11,Station_Visual_Nodes!$J:$J),"")</f>
        <v>980</v>
      </c>
      <c r="H11" s="11">
        <f>IF(F11="","",F11/Config!$B$2*100)</f>
        <v>58.984375</v>
      </c>
      <c r="I11" s="11">
        <f>IF(G11="","",G11/Config!$B$3*100)</f>
        <v>34.027777777777779</v>
      </c>
      <c r="J11" s="5">
        <v>24</v>
      </c>
      <c r="K11" s="5" t="s">
        <v>919</v>
      </c>
      <c r="L11" s="5" t="s">
        <v>920</v>
      </c>
      <c r="M11" s="5"/>
    </row>
    <row r="12" spans="1:26" ht="15">
      <c r="A12" s="5" t="str">
        <f t="shared" si="0"/>
        <v>완료</v>
      </c>
      <c r="B12" s="5" t="s">
        <v>87</v>
      </c>
      <c r="C12" s="5" t="s">
        <v>87</v>
      </c>
      <c r="D12" s="5" t="s">
        <v>88</v>
      </c>
      <c r="E12" s="5" t="s">
        <v>89</v>
      </c>
      <c r="F12" s="8">
        <f>IFERROR(AVERAGEIF(Station_Visual_Nodes!$D:$D,B12,Station_Visual_Nodes!$I:$I),"")</f>
        <v>2000</v>
      </c>
      <c r="G12" s="8">
        <f>IFERROR(AVERAGEIF(Station_Visual_Nodes!$D:$D,B12,Station_Visual_Nodes!$J:$J),"")</f>
        <v>1144</v>
      </c>
      <c r="H12" s="11">
        <f>IF(F12="","",F12/Config!$B$2*100)</f>
        <v>39.0625</v>
      </c>
      <c r="I12" s="11">
        <f>IF(G12="","",G12/Config!$B$3*100)</f>
        <v>39.722222222222221</v>
      </c>
      <c r="J12" s="5">
        <v>24</v>
      </c>
      <c r="K12" s="5" t="s">
        <v>919</v>
      </c>
      <c r="L12" s="5" t="s">
        <v>920</v>
      </c>
      <c r="M12" s="5"/>
    </row>
    <row r="13" spans="1:26" ht="15">
      <c r="A13" s="5" t="str">
        <f t="shared" si="0"/>
        <v>완료</v>
      </c>
      <c r="B13" s="5" t="s">
        <v>91</v>
      </c>
      <c r="C13" s="5" t="s">
        <v>91</v>
      </c>
      <c r="D13" s="5" t="s">
        <v>92</v>
      </c>
      <c r="E13" s="5" t="s">
        <v>93</v>
      </c>
      <c r="F13" s="8">
        <f>IFERROR(AVERAGEIF(Station_Visual_Nodes!$D:$D,B13,Station_Visual_Nodes!$I:$I),"")</f>
        <v>2084</v>
      </c>
      <c r="G13" s="8">
        <f>IFERROR(AVERAGEIF(Station_Visual_Nodes!$D:$D,B13,Station_Visual_Nodes!$J:$J),"")</f>
        <v>1144</v>
      </c>
      <c r="H13" s="11">
        <f>IF(F13="","",F13/Config!$B$2*100)</f>
        <v>40.703125</v>
      </c>
      <c r="I13" s="11">
        <f>IF(G13="","",G13/Config!$B$3*100)</f>
        <v>39.722222222222221</v>
      </c>
      <c r="J13" s="5">
        <v>42</v>
      </c>
      <c r="K13" s="5" t="s">
        <v>919</v>
      </c>
      <c r="L13" s="5" t="s">
        <v>920</v>
      </c>
      <c r="M13" s="5"/>
    </row>
    <row r="14" spans="1:26" ht="15">
      <c r="A14" s="5" t="str">
        <f t="shared" si="0"/>
        <v>완료</v>
      </c>
      <c r="B14" s="5" t="s">
        <v>95</v>
      </c>
      <c r="C14" s="5" t="s">
        <v>95</v>
      </c>
      <c r="D14" s="5" t="s">
        <v>96</v>
      </c>
      <c r="E14" s="5" t="s">
        <v>97</v>
      </c>
      <c r="F14" s="8">
        <f>IFERROR(AVERAGEIF(Station_Visual_Nodes!$D:$D,B14,Station_Visual_Nodes!$I:$I),"")</f>
        <v>2200</v>
      </c>
      <c r="G14" s="8">
        <f>IFERROR(AVERAGEIF(Station_Visual_Nodes!$D:$D,B14,Station_Visual_Nodes!$J:$J),"")</f>
        <v>1144</v>
      </c>
      <c r="H14" s="11">
        <f>IF(F14="","",F14/Config!$B$2*100)</f>
        <v>42.96875</v>
      </c>
      <c r="I14" s="11">
        <f>IF(G14="","",G14/Config!$B$3*100)</f>
        <v>39.722222222222221</v>
      </c>
      <c r="J14" s="5">
        <v>42</v>
      </c>
      <c r="K14" s="5" t="s">
        <v>919</v>
      </c>
      <c r="L14" s="5" t="s">
        <v>920</v>
      </c>
      <c r="M14" s="5"/>
    </row>
    <row r="15" spans="1:26" ht="15">
      <c r="A15" s="5" t="str">
        <f t="shared" si="0"/>
        <v>완료</v>
      </c>
      <c r="B15" s="5" t="s">
        <v>99</v>
      </c>
      <c r="C15" s="5" t="s">
        <v>99</v>
      </c>
      <c r="D15" s="5" t="s">
        <v>100</v>
      </c>
      <c r="E15" s="5" t="s">
        <v>101</v>
      </c>
      <c r="F15" s="8">
        <f>IFERROR(AVERAGEIF(Station_Visual_Nodes!$D:$D,B15,Station_Visual_Nodes!$I:$I),"")</f>
        <v>2328</v>
      </c>
      <c r="G15" s="8">
        <f>IFERROR(AVERAGEIF(Station_Visual_Nodes!$D:$D,B15,Station_Visual_Nodes!$J:$J),"")</f>
        <v>1144</v>
      </c>
      <c r="H15" s="11">
        <f>IF(F15="","",F15/Config!$B$2*100)</f>
        <v>45.46875</v>
      </c>
      <c r="I15" s="11">
        <f>IF(G15="","",G15/Config!$B$3*100)</f>
        <v>39.722222222222221</v>
      </c>
      <c r="J15" s="5">
        <v>52</v>
      </c>
      <c r="K15" s="5" t="s">
        <v>919</v>
      </c>
      <c r="L15" s="5" t="s">
        <v>920</v>
      </c>
      <c r="M15" s="5"/>
    </row>
    <row r="16" spans="1:26" ht="15">
      <c r="A16" s="5" t="str">
        <f t="shared" si="0"/>
        <v>완료</v>
      </c>
      <c r="B16" s="5" t="s">
        <v>104</v>
      </c>
      <c r="C16" s="5" t="s">
        <v>104</v>
      </c>
      <c r="D16" s="5" t="s">
        <v>105</v>
      </c>
      <c r="E16" s="5" t="s">
        <v>106</v>
      </c>
      <c r="F16" s="8">
        <f>IFERROR(AVERAGEIF(Station_Visual_Nodes!$D:$D,B16,Station_Visual_Nodes!$I:$I),"")</f>
        <v>2528</v>
      </c>
      <c r="G16" s="8">
        <f>IFERROR(AVERAGEIF(Station_Visual_Nodes!$D:$D,B16,Station_Visual_Nodes!$J:$J),"")</f>
        <v>1144</v>
      </c>
      <c r="H16" s="11">
        <f>IF(F16="","",F16/Config!$B$2*100)</f>
        <v>49.375</v>
      </c>
      <c r="I16" s="11">
        <f>IF(G16="","",G16/Config!$B$3*100)</f>
        <v>39.722222222222221</v>
      </c>
      <c r="J16" s="5">
        <v>42</v>
      </c>
      <c r="K16" s="5" t="s">
        <v>919</v>
      </c>
      <c r="L16" s="5" t="s">
        <v>920</v>
      </c>
      <c r="M16" s="5"/>
    </row>
    <row r="17" spans="1:13" ht="15">
      <c r="A17" s="5" t="str">
        <f t="shared" si="0"/>
        <v>완료</v>
      </c>
      <c r="B17" s="5" t="s">
        <v>108</v>
      </c>
      <c r="C17" s="5" t="s">
        <v>108</v>
      </c>
      <c r="D17" s="5" t="s">
        <v>109</v>
      </c>
      <c r="E17" s="5" t="s">
        <v>89</v>
      </c>
      <c r="F17" s="8">
        <f>IFERROR(AVERAGEIF(Station_Visual_Nodes!$D:$D,B17,Station_Visual_Nodes!$I:$I),"")</f>
        <v>2628</v>
      </c>
      <c r="G17" s="8">
        <f>IFERROR(AVERAGEIF(Station_Visual_Nodes!$D:$D,B17,Station_Visual_Nodes!$J:$J),"")</f>
        <v>1144</v>
      </c>
      <c r="H17" s="11">
        <f>IF(F17="","",F17/Config!$B$2*100)</f>
        <v>51.328125</v>
      </c>
      <c r="I17" s="11">
        <f>IF(G17="","",G17/Config!$B$3*100)</f>
        <v>39.722222222222221</v>
      </c>
      <c r="J17" s="5">
        <v>24</v>
      </c>
      <c r="K17" s="5" t="s">
        <v>919</v>
      </c>
      <c r="L17" s="5" t="s">
        <v>920</v>
      </c>
      <c r="M17" s="5"/>
    </row>
    <row r="18" spans="1:13" ht="15">
      <c r="A18" s="5" t="str">
        <f t="shared" si="0"/>
        <v>완료</v>
      </c>
      <c r="B18" s="5" t="s">
        <v>110</v>
      </c>
      <c r="C18" s="5" t="s">
        <v>110</v>
      </c>
      <c r="D18" s="5" t="s">
        <v>111</v>
      </c>
      <c r="E18" s="5" t="s">
        <v>97</v>
      </c>
      <c r="F18" s="8">
        <f>IFERROR(AVERAGEIF(Station_Visual_Nodes!$D:$D,B18,Station_Visual_Nodes!$I:$I),"")</f>
        <v>2740</v>
      </c>
      <c r="G18" s="8">
        <f>IFERROR(AVERAGEIF(Station_Visual_Nodes!$D:$D,B18,Station_Visual_Nodes!$J:$J),"")</f>
        <v>1144</v>
      </c>
      <c r="H18" s="11">
        <f>IF(F18="","",F18/Config!$B$2*100)</f>
        <v>53.515625</v>
      </c>
      <c r="I18" s="11">
        <f>IF(G18="","",G18/Config!$B$3*100)</f>
        <v>39.722222222222221</v>
      </c>
      <c r="J18" s="5">
        <v>42</v>
      </c>
      <c r="K18" s="5" t="s">
        <v>919</v>
      </c>
      <c r="L18" s="5" t="s">
        <v>920</v>
      </c>
      <c r="M18" s="5"/>
    </row>
    <row r="19" spans="1:13" ht="15">
      <c r="A19" s="5" t="str">
        <f t="shared" si="0"/>
        <v>완료</v>
      </c>
      <c r="B19" s="5" t="s">
        <v>112</v>
      </c>
      <c r="C19" s="5" t="s">
        <v>112</v>
      </c>
      <c r="D19" s="5" t="s">
        <v>113</v>
      </c>
      <c r="E19" s="5" t="s">
        <v>89</v>
      </c>
      <c r="F19" s="8">
        <f>IFERROR(AVERAGEIF(Station_Visual_Nodes!$D:$D,B19,Station_Visual_Nodes!$I:$I),"")</f>
        <v>2864</v>
      </c>
      <c r="G19" s="8">
        <f>IFERROR(AVERAGEIF(Station_Visual_Nodes!$D:$D,B19,Station_Visual_Nodes!$J:$J),"")</f>
        <v>1188</v>
      </c>
      <c r="H19" s="11">
        <f>IF(F19="","",F19/Config!$B$2*100)</f>
        <v>55.937499999999993</v>
      </c>
      <c r="I19" s="11">
        <f>IF(G19="","",G19/Config!$B$3*100)</f>
        <v>41.25</v>
      </c>
      <c r="J19" s="5">
        <v>24</v>
      </c>
      <c r="K19" s="5" t="s">
        <v>919</v>
      </c>
      <c r="L19" s="5" t="s">
        <v>920</v>
      </c>
      <c r="M19" s="5"/>
    </row>
    <row r="20" spans="1:13" ht="15">
      <c r="A20" s="5" t="str">
        <f t="shared" si="0"/>
        <v>완료</v>
      </c>
      <c r="B20" s="5" t="s">
        <v>114</v>
      </c>
      <c r="C20" s="5" t="s">
        <v>114</v>
      </c>
      <c r="D20" s="5" t="s">
        <v>115</v>
      </c>
      <c r="E20" s="5" t="s">
        <v>89</v>
      </c>
      <c r="F20" s="8">
        <f>IFERROR(AVERAGEIF(Station_Visual_Nodes!$D:$D,B20,Station_Visual_Nodes!$I:$I),"")</f>
        <v>2920</v>
      </c>
      <c r="G20" s="8">
        <f>IFERROR(AVERAGEIF(Station_Visual_Nodes!$D:$D,B20,Station_Visual_Nodes!$J:$J),"")</f>
        <v>1244</v>
      </c>
      <c r="H20" s="11">
        <f>IF(F20="","",F20/Config!$B$2*100)</f>
        <v>57.03125</v>
      </c>
      <c r="I20" s="11">
        <f>IF(G20="","",G20/Config!$B$3*100)</f>
        <v>43.194444444444443</v>
      </c>
      <c r="J20" s="5">
        <v>24</v>
      </c>
      <c r="K20" s="5" t="s">
        <v>919</v>
      </c>
      <c r="L20" s="5" t="s">
        <v>920</v>
      </c>
      <c r="M20" s="5"/>
    </row>
    <row r="21" spans="1:13" ht="15">
      <c r="A21" s="5" t="str">
        <f t="shared" si="0"/>
        <v>완료</v>
      </c>
      <c r="B21" s="5" t="s">
        <v>116</v>
      </c>
      <c r="C21" s="5" t="s">
        <v>116</v>
      </c>
      <c r="D21" s="5" t="s">
        <v>117</v>
      </c>
      <c r="E21" s="5" t="s">
        <v>89</v>
      </c>
      <c r="F21" s="8">
        <f>IFERROR(AVERAGEIF(Station_Visual_Nodes!$D:$D,B21,Station_Visual_Nodes!$I:$I),"")</f>
        <v>2972</v>
      </c>
      <c r="G21" s="8">
        <f>IFERROR(AVERAGEIF(Station_Visual_Nodes!$D:$D,B21,Station_Visual_Nodes!$J:$J),"")</f>
        <v>1294</v>
      </c>
      <c r="H21" s="11">
        <f>IF(F21="","",F21/Config!$B$2*100)</f>
        <v>58.046875</v>
      </c>
      <c r="I21" s="11">
        <f>IF(G21="","",G21/Config!$B$3*100)</f>
        <v>44.930555555555557</v>
      </c>
      <c r="J21" s="5">
        <v>24</v>
      </c>
      <c r="K21" s="5" t="s">
        <v>919</v>
      </c>
      <c r="L21" s="5" t="s">
        <v>920</v>
      </c>
      <c r="M21" s="5"/>
    </row>
    <row r="22" spans="1:13" ht="15">
      <c r="A22" s="5" t="str">
        <f t="shared" si="0"/>
        <v>완료</v>
      </c>
      <c r="B22" s="5" t="s">
        <v>119</v>
      </c>
      <c r="C22" s="5" t="s">
        <v>119</v>
      </c>
      <c r="D22" s="5" t="s">
        <v>120</v>
      </c>
      <c r="E22" s="5" t="s">
        <v>121</v>
      </c>
      <c r="F22" s="8">
        <f>IFERROR(AVERAGEIF(Station_Visual_Nodes!$D:$D,B22,Station_Visual_Nodes!$I:$I),"")</f>
        <v>2972</v>
      </c>
      <c r="G22" s="8">
        <f>IFERROR(AVERAGEIF(Station_Visual_Nodes!$D:$D,B22,Station_Visual_Nodes!$J:$J),"")</f>
        <v>1468</v>
      </c>
      <c r="H22" s="11">
        <f>IF(F22="","",F22/Config!$B$2*100)</f>
        <v>58.046875</v>
      </c>
      <c r="I22" s="11">
        <f>IF(G22="","",G22/Config!$B$3*100)</f>
        <v>50.972222222222221</v>
      </c>
      <c r="J22" s="5">
        <v>42</v>
      </c>
      <c r="K22" s="5" t="s">
        <v>919</v>
      </c>
      <c r="L22" s="5" t="s">
        <v>920</v>
      </c>
      <c r="M22" s="5"/>
    </row>
    <row r="23" spans="1:13" ht="15">
      <c r="A23" s="5" t="str">
        <f t="shared" si="0"/>
        <v>완료</v>
      </c>
      <c r="B23" s="5" t="s">
        <v>123</v>
      </c>
      <c r="C23" s="5" t="s">
        <v>123</v>
      </c>
      <c r="D23" s="5" t="s">
        <v>124</v>
      </c>
      <c r="E23" s="5" t="s">
        <v>89</v>
      </c>
      <c r="F23" s="8">
        <f>IFERROR(AVERAGEIF(Station_Visual_Nodes!$D:$D,B23,Station_Visual_Nodes!$I:$I),"")</f>
        <v>2972</v>
      </c>
      <c r="G23" s="8">
        <f>IFERROR(AVERAGEIF(Station_Visual_Nodes!$D:$D,B23,Station_Visual_Nodes!$J:$J),"")</f>
        <v>1552</v>
      </c>
      <c r="H23" s="11">
        <f>IF(F23="","",F23/Config!$B$2*100)</f>
        <v>58.046875</v>
      </c>
      <c r="I23" s="11">
        <f>IF(G23="","",G23/Config!$B$3*100)</f>
        <v>53.888888888888886</v>
      </c>
      <c r="J23" s="5">
        <v>24</v>
      </c>
      <c r="K23" s="5" t="s">
        <v>919</v>
      </c>
      <c r="L23" s="5" t="s">
        <v>920</v>
      </c>
      <c r="M23" s="5"/>
    </row>
    <row r="24" spans="1:13" ht="15">
      <c r="A24" s="5" t="str">
        <f t="shared" si="0"/>
        <v>완료</v>
      </c>
      <c r="B24" s="5" t="s">
        <v>125</v>
      </c>
      <c r="C24" s="5" t="s">
        <v>125</v>
      </c>
      <c r="D24" s="5" t="s">
        <v>126</v>
      </c>
      <c r="E24" s="5" t="s">
        <v>89</v>
      </c>
      <c r="F24" s="8">
        <f>IFERROR(AVERAGEIF(Station_Visual_Nodes!$D:$D,B24,Station_Visual_Nodes!$I:$I),"")</f>
        <v>2972</v>
      </c>
      <c r="G24" s="8">
        <f>IFERROR(AVERAGEIF(Station_Visual_Nodes!$D:$D,B24,Station_Visual_Nodes!$J:$J),"")</f>
        <v>1628</v>
      </c>
      <c r="H24" s="11">
        <f>IF(F24="","",F24/Config!$B$2*100)</f>
        <v>58.046875</v>
      </c>
      <c r="I24" s="11">
        <f>IF(G24="","",G24/Config!$B$3*100)</f>
        <v>56.527777777777779</v>
      </c>
      <c r="J24" s="5">
        <v>24</v>
      </c>
      <c r="K24" s="5" t="s">
        <v>919</v>
      </c>
      <c r="L24" s="5" t="s">
        <v>920</v>
      </c>
      <c r="M24" s="5"/>
    </row>
    <row r="25" spans="1:13" ht="15">
      <c r="A25" s="5" t="str">
        <f t="shared" si="0"/>
        <v>완료</v>
      </c>
      <c r="B25" s="5" t="s">
        <v>127</v>
      </c>
      <c r="C25" s="5" t="s">
        <v>127</v>
      </c>
      <c r="D25" s="5" t="s">
        <v>128</v>
      </c>
      <c r="E25" s="5" t="s">
        <v>89</v>
      </c>
      <c r="F25" s="8">
        <f>IFERROR(AVERAGEIF(Station_Visual_Nodes!$D:$D,B25,Station_Visual_Nodes!$I:$I),"")</f>
        <v>2972</v>
      </c>
      <c r="G25" s="8">
        <f>IFERROR(AVERAGEIF(Station_Visual_Nodes!$D:$D,B25,Station_Visual_Nodes!$J:$J),"")</f>
        <v>1708</v>
      </c>
      <c r="H25" s="11">
        <f>IF(F25="","",F25/Config!$B$2*100)</f>
        <v>58.046875</v>
      </c>
      <c r="I25" s="11">
        <f>IF(G25="","",G25/Config!$B$3*100)</f>
        <v>59.305555555555557</v>
      </c>
      <c r="J25" s="5">
        <v>24</v>
      </c>
      <c r="K25" s="5" t="s">
        <v>919</v>
      </c>
      <c r="L25" s="5" t="s">
        <v>920</v>
      </c>
      <c r="M25" s="5"/>
    </row>
    <row r="26" spans="1:13" ht="15">
      <c r="A26" s="5" t="str">
        <f t="shared" si="0"/>
        <v>완료</v>
      </c>
      <c r="B26" s="5" t="s">
        <v>129</v>
      </c>
      <c r="C26" s="5" t="s">
        <v>129</v>
      </c>
      <c r="D26" s="5" t="s">
        <v>130</v>
      </c>
      <c r="E26" s="5" t="s">
        <v>131</v>
      </c>
      <c r="F26" s="8">
        <f>IFERROR(AVERAGEIF(Station_Visual_Nodes!$D:$D,B26,Station_Visual_Nodes!$I:$I),"")</f>
        <v>2972</v>
      </c>
      <c r="G26" s="8">
        <f>IFERROR(AVERAGEIF(Station_Visual_Nodes!$D:$D,B26,Station_Visual_Nodes!$J:$J),"")</f>
        <v>1800</v>
      </c>
      <c r="H26" s="11">
        <f>IF(F26="","",F26/Config!$B$2*100)</f>
        <v>58.046875</v>
      </c>
      <c r="I26" s="11">
        <f>IF(G26="","",G26/Config!$B$3*100)</f>
        <v>62.5</v>
      </c>
      <c r="J26" s="5">
        <v>42</v>
      </c>
      <c r="K26" s="5" t="s">
        <v>919</v>
      </c>
      <c r="L26" s="5" t="s">
        <v>920</v>
      </c>
      <c r="M26" s="5"/>
    </row>
    <row r="27" spans="1:13" ht="15">
      <c r="A27" s="5" t="str">
        <f t="shared" si="0"/>
        <v>완료</v>
      </c>
      <c r="B27" s="5" t="s">
        <v>133</v>
      </c>
      <c r="C27" s="5" t="s">
        <v>133</v>
      </c>
      <c r="D27" s="5" t="s">
        <v>134</v>
      </c>
      <c r="E27" s="5" t="s">
        <v>89</v>
      </c>
      <c r="F27" s="8">
        <f>IFERROR(AVERAGEIF(Station_Visual_Nodes!$D:$D,B27,Station_Visual_Nodes!$I:$I),"")</f>
        <v>2972</v>
      </c>
      <c r="G27" s="8">
        <f>IFERROR(AVERAGEIF(Station_Visual_Nodes!$D:$D,B27,Station_Visual_Nodes!$J:$J),"")</f>
        <v>1882</v>
      </c>
      <c r="H27" s="11">
        <f>IF(F27="","",F27/Config!$B$2*100)</f>
        <v>58.046875</v>
      </c>
      <c r="I27" s="11">
        <f>IF(G27="","",G27/Config!$B$3*100)</f>
        <v>65.347222222222229</v>
      </c>
      <c r="J27" s="5">
        <v>24</v>
      </c>
      <c r="K27" s="5" t="s">
        <v>919</v>
      </c>
      <c r="L27" s="5" t="s">
        <v>920</v>
      </c>
      <c r="M27" s="5"/>
    </row>
    <row r="28" spans="1:13" ht="15">
      <c r="A28" s="5" t="str">
        <f t="shared" si="0"/>
        <v>완료</v>
      </c>
      <c r="B28" s="5" t="s">
        <v>135</v>
      </c>
      <c r="C28" s="5" t="s">
        <v>135</v>
      </c>
      <c r="D28" s="5" t="s">
        <v>136</v>
      </c>
      <c r="E28" s="5" t="s">
        <v>89</v>
      </c>
      <c r="F28" s="8">
        <f>IFERROR(AVERAGEIF(Station_Visual_Nodes!$D:$D,B28,Station_Visual_Nodes!$I:$I),"")</f>
        <v>2972</v>
      </c>
      <c r="G28" s="8">
        <f>IFERROR(AVERAGEIF(Station_Visual_Nodes!$D:$D,B28,Station_Visual_Nodes!$J:$J),"")</f>
        <v>1964</v>
      </c>
      <c r="H28" s="11">
        <f>IF(F28="","",F28/Config!$B$2*100)</f>
        <v>58.046875</v>
      </c>
      <c r="I28" s="11">
        <f>IF(G28="","",G28/Config!$B$3*100)</f>
        <v>68.194444444444443</v>
      </c>
      <c r="J28" s="5">
        <v>24</v>
      </c>
      <c r="K28" s="5" t="s">
        <v>919</v>
      </c>
      <c r="L28" s="5" t="s">
        <v>920</v>
      </c>
      <c r="M28" s="5"/>
    </row>
    <row r="29" spans="1:13" ht="15">
      <c r="A29" s="5" t="str">
        <f t="shared" si="0"/>
        <v>완료</v>
      </c>
      <c r="B29" s="5" t="s">
        <v>137</v>
      </c>
      <c r="C29" s="5" t="s">
        <v>137</v>
      </c>
      <c r="D29" s="5" t="s">
        <v>138</v>
      </c>
      <c r="E29" s="5" t="s">
        <v>89</v>
      </c>
      <c r="F29" s="8">
        <f>IFERROR(AVERAGEIF(Station_Visual_Nodes!$D:$D,B29,Station_Visual_Nodes!$I:$I),"")</f>
        <v>2874</v>
      </c>
      <c r="G29" s="8">
        <f>IFERROR(AVERAGEIF(Station_Visual_Nodes!$D:$D,B29,Station_Visual_Nodes!$J:$J),"")</f>
        <v>2040</v>
      </c>
      <c r="H29" s="11">
        <f>IF(F29="","",F29/Config!$B$2*100)</f>
        <v>56.132812499999993</v>
      </c>
      <c r="I29" s="11">
        <f>IF(G29="","",G29/Config!$B$3*100)</f>
        <v>70.833333333333343</v>
      </c>
      <c r="J29" s="5">
        <v>24</v>
      </c>
      <c r="K29" s="5" t="s">
        <v>919</v>
      </c>
      <c r="L29" s="5" t="s">
        <v>920</v>
      </c>
      <c r="M29" s="5"/>
    </row>
    <row r="30" spans="1:13" ht="15">
      <c r="A30" s="5" t="str">
        <f t="shared" si="0"/>
        <v>완료</v>
      </c>
      <c r="B30" s="5" t="s">
        <v>139</v>
      </c>
      <c r="C30" s="5" t="s">
        <v>139</v>
      </c>
      <c r="D30" s="5" t="s">
        <v>140</v>
      </c>
      <c r="E30" s="5" t="s">
        <v>89</v>
      </c>
      <c r="F30" s="8">
        <f>IFERROR(AVERAGEIF(Station_Visual_Nodes!$D:$D,B30,Station_Visual_Nodes!$I:$I),"")</f>
        <v>2776</v>
      </c>
      <c r="G30" s="8">
        <f>IFERROR(AVERAGEIF(Station_Visual_Nodes!$D:$D,B30,Station_Visual_Nodes!$J:$J),"")</f>
        <v>2116</v>
      </c>
      <c r="H30" s="11">
        <f>IF(F30="","",F30/Config!$B$2*100)</f>
        <v>54.218750000000007</v>
      </c>
      <c r="I30" s="11">
        <f>IF(G30="","",G30/Config!$B$3*100)</f>
        <v>73.472222222222229</v>
      </c>
      <c r="J30" s="5">
        <v>24</v>
      </c>
      <c r="K30" s="5" t="s">
        <v>919</v>
      </c>
      <c r="L30" s="5" t="s">
        <v>920</v>
      </c>
      <c r="M30" s="5"/>
    </row>
    <row r="31" spans="1:13" ht="15">
      <c r="A31" s="5" t="str">
        <f t="shared" si="0"/>
        <v>완료</v>
      </c>
      <c r="B31" s="5" t="s">
        <v>141</v>
      </c>
      <c r="C31" s="5" t="s">
        <v>141</v>
      </c>
      <c r="D31" s="5" t="s">
        <v>142</v>
      </c>
      <c r="E31" s="5" t="s">
        <v>89</v>
      </c>
      <c r="F31" s="8">
        <f>IFERROR(AVERAGEIF(Station_Visual_Nodes!$D:$D,B31,Station_Visual_Nodes!$I:$I),"")</f>
        <v>2696</v>
      </c>
      <c r="G31" s="8">
        <f>IFERROR(AVERAGEIF(Station_Visual_Nodes!$D:$D,B31,Station_Visual_Nodes!$J:$J),"")</f>
        <v>2116</v>
      </c>
      <c r="H31" s="11">
        <f>IF(F31="","",F31/Config!$B$2*100)</f>
        <v>52.656250000000007</v>
      </c>
      <c r="I31" s="11">
        <f>IF(G31="","",G31/Config!$B$3*100)</f>
        <v>73.472222222222229</v>
      </c>
      <c r="J31" s="5">
        <v>24</v>
      </c>
      <c r="K31" s="5" t="s">
        <v>919</v>
      </c>
      <c r="L31" s="5" t="s">
        <v>920</v>
      </c>
      <c r="M31" s="5"/>
    </row>
    <row r="32" spans="1:13" ht="15">
      <c r="A32" s="5" t="str">
        <f t="shared" si="0"/>
        <v>완료</v>
      </c>
      <c r="B32" s="5" t="s">
        <v>143</v>
      </c>
      <c r="C32" s="5" t="s">
        <v>143</v>
      </c>
      <c r="D32" s="5" t="s">
        <v>144</v>
      </c>
      <c r="E32" s="5" t="s">
        <v>89</v>
      </c>
      <c r="F32" s="8">
        <f>IFERROR(AVERAGEIF(Station_Visual_Nodes!$D:$D,B32,Station_Visual_Nodes!$I:$I),"")</f>
        <v>2616</v>
      </c>
      <c r="G32" s="8">
        <f>IFERROR(AVERAGEIF(Station_Visual_Nodes!$D:$D,B32,Station_Visual_Nodes!$J:$J),"")</f>
        <v>2116</v>
      </c>
      <c r="H32" s="11">
        <f>IF(F32="","",F32/Config!$B$2*100)</f>
        <v>51.093750000000007</v>
      </c>
      <c r="I32" s="11">
        <f>IF(G32="","",G32/Config!$B$3*100)</f>
        <v>73.472222222222229</v>
      </c>
      <c r="J32" s="5">
        <v>24</v>
      </c>
      <c r="K32" s="5" t="s">
        <v>919</v>
      </c>
      <c r="L32" s="5" t="s">
        <v>920</v>
      </c>
      <c r="M32" s="5"/>
    </row>
    <row r="33" spans="1:13" ht="15">
      <c r="A33" s="5" t="str">
        <f t="shared" si="0"/>
        <v>완료</v>
      </c>
      <c r="B33" s="5" t="s">
        <v>145</v>
      </c>
      <c r="C33" s="5" t="s">
        <v>145</v>
      </c>
      <c r="D33" s="5" t="s">
        <v>146</v>
      </c>
      <c r="E33" s="5" t="s">
        <v>93</v>
      </c>
      <c r="F33" s="8">
        <f>IFERROR(AVERAGEIF(Station_Visual_Nodes!$D:$D,B33,Station_Visual_Nodes!$I:$I),"")</f>
        <v>2480</v>
      </c>
      <c r="G33" s="8">
        <f>IFERROR(AVERAGEIF(Station_Visual_Nodes!$D:$D,B33,Station_Visual_Nodes!$J:$J),"")</f>
        <v>2116</v>
      </c>
      <c r="H33" s="11">
        <f>IF(F33="","",F33/Config!$B$2*100)</f>
        <v>48.4375</v>
      </c>
      <c r="I33" s="11">
        <f>IF(G33="","",G33/Config!$B$3*100)</f>
        <v>73.472222222222229</v>
      </c>
      <c r="J33" s="5">
        <v>42</v>
      </c>
      <c r="K33" s="5" t="s">
        <v>919</v>
      </c>
      <c r="L33" s="5" t="s">
        <v>920</v>
      </c>
      <c r="M33" s="5"/>
    </row>
    <row r="34" spans="1:13" ht="15">
      <c r="A34" s="5" t="str">
        <f t="shared" si="0"/>
        <v>완료</v>
      </c>
      <c r="B34" s="5" t="s">
        <v>147</v>
      </c>
      <c r="C34" s="5" t="s">
        <v>147</v>
      </c>
      <c r="D34" s="5" t="s">
        <v>148</v>
      </c>
      <c r="E34" s="5" t="s">
        <v>89</v>
      </c>
      <c r="F34" s="8">
        <f>IFERROR(AVERAGEIF(Station_Visual_Nodes!$D:$D,B34,Station_Visual_Nodes!$I:$I),"")</f>
        <v>2384</v>
      </c>
      <c r="G34" s="8">
        <f>IFERROR(AVERAGEIF(Station_Visual_Nodes!$D:$D,B34,Station_Visual_Nodes!$J:$J),"")</f>
        <v>2116</v>
      </c>
      <c r="H34" s="11">
        <f>IF(F34="","",F34/Config!$B$2*100)</f>
        <v>46.5625</v>
      </c>
      <c r="I34" s="11">
        <f>IF(G34="","",G34/Config!$B$3*100)</f>
        <v>73.472222222222229</v>
      </c>
      <c r="J34" s="5">
        <v>24</v>
      </c>
      <c r="K34" s="5" t="s">
        <v>919</v>
      </c>
      <c r="L34" s="5" t="s">
        <v>920</v>
      </c>
      <c r="M34" s="5"/>
    </row>
    <row r="35" spans="1:13" ht="15">
      <c r="A35" s="5" t="str">
        <f t="shared" si="0"/>
        <v>완료</v>
      </c>
      <c r="B35" s="5" t="s">
        <v>149</v>
      </c>
      <c r="C35" s="5" t="s">
        <v>149</v>
      </c>
      <c r="D35" s="5" t="s">
        <v>150</v>
      </c>
      <c r="E35" s="5" t="s">
        <v>89</v>
      </c>
      <c r="F35" s="8">
        <f>IFERROR(AVERAGEIF(Station_Visual_Nodes!$D:$D,B35,Station_Visual_Nodes!$I:$I),"")</f>
        <v>2296</v>
      </c>
      <c r="G35" s="8">
        <f>IFERROR(AVERAGEIF(Station_Visual_Nodes!$D:$D,B35,Station_Visual_Nodes!$J:$J),"")</f>
        <v>2116</v>
      </c>
      <c r="H35" s="11">
        <f>IF(F35="","",F35/Config!$B$2*100)</f>
        <v>44.84375</v>
      </c>
      <c r="I35" s="11">
        <f>IF(G35="","",G35/Config!$B$3*100)</f>
        <v>73.472222222222229</v>
      </c>
      <c r="J35" s="5">
        <v>24</v>
      </c>
      <c r="K35" s="5" t="s">
        <v>919</v>
      </c>
      <c r="L35" s="5" t="s">
        <v>920</v>
      </c>
      <c r="M35" s="5"/>
    </row>
    <row r="36" spans="1:13" ht="15">
      <c r="A36" s="5" t="str">
        <f t="shared" si="0"/>
        <v>완료</v>
      </c>
      <c r="B36" s="5" t="s">
        <v>151</v>
      </c>
      <c r="C36" s="5" t="s">
        <v>151</v>
      </c>
      <c r="D36" s="5" t="s">
        <v>152</v>
      </c>
      <c r="E36" s="5" t="s">
        <v>153</v>
      </c>
      <c r="F36" s="8">
        <f>IFERROR(AVERAGEIF(Station_Visual_Nodes!$D:$D,B36,Station_Visual_Nodes!$I:$I),"")</f>
        <v>2200</v>
      </c>
      <c r="G36" s="8">
        <f>IFERROR(AVERAGEIF(Station_Visual_Nodes!$D:$D,B36,Station_Visual_Nodes!$J:$J),"")</f>
        <v>2116</v>
      </c>
      <c r="H36" s="11">
        <f>IF(F36="","",F36/Config!$B$2*100)</f>
        <v>42.96875</v>
      </c>
      <c r="I36" s="11">
        <f>IF(G36="","",G36/Config!$B$3*100)</f>
        <v>73.472222222222229</v>
      </c>
      <c r="J36" s="5">
        <v>42</v>
      </c>
      <c r="K36" s="5" t="s">
        <v>919</v>
      </c>
      <c r="L36" s="5" t="s">
        <v>920</v>
      </c>
      <c r="M36" s="5"/>
    </row>
    <row r="37" spans="1:13" ht="15">
      <c r="A37" s="5" t="str">
        <f t="shared" si="0"/>
        <v>완료</v>
      </c>
      <c r="B37" s="5" t="s">
        <v>155</v>
      </c>
      <c r="C37" s="5" t="s">
        <v>155</v>
      </c>
      <c r="D37" s="5" t="s">
        <v>156</v>
      </c>
      <c r="E37" s="5" t="s">
        <v>89</v>
      </c>
      <c r="F37" s="8">
        <f>IFERROR(AVERAGEIF(Station_Visual_Nodes!$D:$D,B37,Station_Visual_Nodes!$I:$I),"")</f>
        <v>2092</v>
      </c>
      <c r="G37" s="8">
        <f>IFERROR(AVERAGEIF(Station_Visual_Nodes!$D:$D,B37,Station_Visual_Nodes!$J:$J),"")</f>
        <v>2116</v>
      </c>
      <c r="H37" s="11">
        <f>IF(F37="","",F37/Config!$B$2*100)</f>
        <v>40.859375</v>
      </c>
      <c r="I37" s="11">
        <f>IF(G37="","",G37/Config!$B$3*100)</f>
        <v>73.472222222222229</v>
      </c>
      <c r="J37" s="5">
        <v>24</v>
      </c>
      <c r="K37" s="5" t="s">
        <v>919</v>
      </c>
      <c r="L37" s="5" t="s">
        <v>920</v>
      </c>
      <c r="M37" s="5"/>
    </row>
    <row r="38" spans="1:13" ht="15">
      <c r="A38" s="5" t="str">
        <f t="shared" si="0"/>
        <v>완료</v>
      </c>
      <c r="B38" s="5" t="s">
        <v>157</v>
      </c>
      <c r="C38" s="5" t="s">
        <v>157</v>
      </c>
      <c r="D38" s="5" t="s">
        <v>158</v>
      </c>
      <c r="E38" s="5" t="s">
        <v>89</v>
      </c>
      <c r="F38" s="8">
        <f>IFERROR(AVERAGEIF(Station_Visual_Nodes!$D:$D,B38,Station_Visual_Nodes!$I:$I),"")</f>
        <v>1984</v>
      </c>
      <c r="G38" s="8">
        <f>IFERROR(AVERAGEIF(Station_Visual_Nodes!$D:$D,B38,Station_Visual_Nodes!$J:$J),"")</f>
        <v>2116</v>
      </c>
      <c r="H38" s="11">
        <f>IF(F38="","",F38/Config!$B$2*100)</f>
        <v>38.75</v>
      </c>
      <c r="I38" s="11">
        <f>IF(G38="","",G38/Config!$B$3*100)</f>
        <v>73.472222222222229</v>
      </c>
      <c r="J38" s="5">
        <v>24</v>
      </c>
      <c r="K38" s="5" t="s">
        <v>919</v>
      </c>
      <c r="L38" s="5" t="s">
        <v>920</v>
      </c>
      <c r="M38" s="5"/>
    </row>
    <row r="39" spans="1:13" ht="15">
      <c r="A39" s="5" t="str">
        <f t="shared" si="0"/>
        <v>완료</v>
      </c>
      <c r="B39" s="5" t="s">
        <v>159</v>
      </c>
      <c r="C39" s="5" t="s">
        <v>159</v>
      </c>
      <c r="D39" s="5" t="s">
        <v>160</v>
      </c>
      <c r="E39" s="5" t="s">
        <v>89</v>
      </c>
      <c r="F39" s="8">
        <f>IFERROR(AVERAGEIF(Station_Visual_Nodes!$D:$D,B39,Station_Visual_Nodes!$I:$I),"")</f>
        <v>1876</v>
      </c>
      <c r="G39" s="8">
        <f>IFERROR(AVERAGEIF(Station_Visual_Nodes!$D:$D,B39,Station_Visual_Nodes!$J:$J),"")</f>
        <v>2116</v>
      </c>
      <c r="H39" s="11">
        <f>IF(F39="","",F39/Config!$B$2*100)</f>
        <v>36.640625</v>
      </c>
      <c r="I39" s="11">
        <f>IF(G39="","",G39/Config!$B$3*100)</f>
        <v>73.472222222222229</v>
      </c>
      <c r="J39" s="5">
        <v>24</v>
      </c>
      <c r="K39" s="5" t="s">
        <v>919</v>
      </c>
      <c r="L39" s="5" t="s">
        <v>920</v>
      </c>
      <c r="M39" s="5"/>
    </row>
    <row r="40" spans="1:13" ht="15">
      <c r="A40" s="5" t="str">
        <f t="shared" si="0"/>
        <v>완료</v>
      </c>
      <c r="B40" s="5" t="s">
        <v>161</v>
      </c>
      <c r="C40" s="5" t="s">
        <v>161</v>
      </c>
      <c r="D40" s="5" t="s">
        <v>162</v>
      </c>
      <c r="E40" s="5" t="s">
        <v>89</v>
      </c>
      <c r="F40" s="8">
        <f>IFERROR(AVERAGEIF(Station_Visual_Nodes!$D:$D,B40,Station_Visual_Nodes!$I:$I),"")</f>
        <v>1768</v>
      </c>
      <c r="G40" s="8">
        <f>IFERROR(AVERAGEIF(Station_Visual_Nodes!$D:$D,B40,Station_Visual_Nodes!$J:$J),"")</f>
        <v>2116</v>
      </c>
      <c r="H40" s="11">
        <f>IF(F40="","",F40/Config!$B$2*100)</f>
        <v>34.53125</v>
      </c>
      <c r="I40" s="11">
        <f>IF(G40="","",G40/Config!$B$3*100)</f>
        <v>73.472222222222229</v>
      </c>
      <c r="J40" s="5">
        <v>24</v>
      </c>
      <c r="K40" s="5" t="s">
        <v>919</v>
      </c>
      <c r="L40" s="5" t="s">
        <v>920</v>
      </c>
      <c r="M40" s="5"/>
    </row>
    <row r="41" spans="1:13" ht="15">
      <c r="A41" s="5" t="str">
        <f t="shared" si="0"/>
        <v>완료</v>
      </c>
      <c r="B41" s="5" t="s">
        <v>163</v>
      </c>
      <c r="C41" s="5" t="s">
        <v>163</v>
      </c>
      <c r="D41" s="5" t="s">
        <v>164</v>
      </c>
      <c r="E41" s="5" t="s">
        <v>89</v>
      </c>
      <c r="F41" s="8">
        <f>IFERROR(AVERAGEIF(Station_Visual_Nodes!$D:$D,B41,Station_Visual_Nodes!$I:$I),"")</f>
        <v>1660</v>
      </c>
      <c r="G41" s="8">
        <f>IFERROR(AVERAGEIF(Station_Visual_Nodes!$D:$D,B41,Station_Visual_Nodes!$J:$J),"")</f>
        <v>2116</v>
      </c>
      <c r="H41" s="11">
        <f>IF(F41="","",F41/Config!$B$2*100)</f>
        <v>32.421875</v>
      </c>
      <c r="I41" s="11">
        <f>IF(G41="","",G41/Config!$B$3*100)</f>
        <v>73.472222222222229</v>
      </c>
      <c r="J41" s="5">
        <v>24</v>
      </c>
      <c r="K41" s="5" t="s">
        <v>919</v>
      </c>
      <c r="L41" s="5" t="s">
        <v>920</v>
      </c>
      <c r="M41" s="5"/>
    </row>
    <row r="42" spans="1:13" ht="15">
      <c r="A42" s="5" t="str">
        <f t="shared" si="0"/>
        <v>완료</v>
      </c>
      <c r="B42" s="5" t="s">
        <v>165</v>
      </c>
      <c r="C42" s="5" t="s">
        <v>165</v>
      </c>
      <c r="D42" s="5" t="s">
        <v>166</v>
      </c>
      <c r="E42" s="5" t="s">
        <v>89</v>
      </c>
      <c r="F42" s="8">
        <f>IFERROR(AVERAGEIF(Station_Visual_Nodes!$D:$D,B42,Station_Visual_Nodes!$I:$I),"")</f>
        <v>1552</v>
      </c>
      <c r="G42" s="8">
        <f>IFERROR(AVERAGEIF(Station_Visual_Nodes!$D:$D,B42,Station_Visual_Nodes!$J:$J),"")</f>
        <v>2116</v>
      </c>
      <c r="H42" s="11">
        <f>IF(F42="","",F42/Config!$B$2*100)</f>
        <v>30.312499999999996</v>
      </c>
      <c r="I42" s="11">
        <f>IF(G42="","",G42/Config!$B$3*100)</f>
        <v>73.472222222222229</v>
      </c>
      <c r="J42" s="5">
        <v>24</v>
      </c>
      <c r="K42" s="5" t="s">
        <v>919</v>
      </c>
      <c r="L42" s="5" t="s">
        <v>920</v>
      </c>
      <c r="M42" s="5"/>
    </row>
    <row r="43" spans="1:13" ht="15">
      <c r="A43" s="5" t="str">
        <f t="shared" si="0"/>
        <v>완료</v>
      </c>
      <c r="B43" s="5" t="s">
        <v>167</v>
      </c>
      <c r="C43" s="5" t="s">
        <v>167</v>
      </c>
      <c r="D43" s="5" t="s">
        <v>168</v>
      </c>
      <c r="E43" s="5" t="s">
        <v>121</v>
      </c>
      <c r="F43" s="8">
        <f>IFERROR(AVERAGEIF(Station_Visual_Nodes!$D:$D,B43,Station_Visual_Nodes!$I:$I),"")</f>
        <v>1424</v>
      </c>
      <c r="G43" s="8">
        <f>IFERROR(AVERAGEIF(Station_Visual_Nodes!$D:$D,B43,Station_Visual_Nodes!$J:$J),"")</f>
        <v>1964</v>
      </c>
      <c r="H43" s="11">
        <f>IF(F43="","",F43/Config!$B$2*100)</f>
        <v>27.8125</v>
      </c>
      <c r="I43" s="11">
        <f>IF(G43="","",G43/Config!$B$3*100)</f>
        <v>68.194444444444443</v>
      </c>
      <c r="J43" s="5">
        <v>42</v>
      </c>
      <c r="K43" s="5" t="s">
        <v>919</v>
      </c>
      <c r="L43" s="5" t="s">
        <v>920</v>
      </c>
      <c r="M43" s="5"/>
    </row>
    <row r="44" spans="1:13" ht="15">
      <c r="A44" s="5" t="str">
        <f t="shared" si="0"/>
        <v>완료</v>
      </c>
      <c r="B44" s="5" t="s">
        <v>169</v>
      </c>
      <c r="C44" s="5" t="s">
        <v>169</v>
      </c>
      <c r="D44" s="5" t="s">
        <v>170</v>
      </c>
      <c r="E44" s="5" t="s">
        <v>89</v>
      </c>
      <c r="F44" s="8">
        <f>IFERROR(AVERAGEIF(Station_Visual_Nodes!$D:$D,B44,Station_Visual_Nodes!$I:$I),"")</f>
        <v>1424</v>
      </c>
      <c r="G44" s="8">
        <f>IFERROR(AVERAGEIF(Station_Visual_Nodes!$D:$D,B44,Station_Visual_Nodes!$J:$J),"")</f>
        <v>1820</v>
      </c>
      <c r="H44" s="11">
        <f>IF(F44="","",F44/Config!$B$2*100)</f>
        <v>27.8125</v>
      </c>
      <c r="I44" s="11">
        <f>IF(G44="","",G44/Config!$B$3*100)</f>
        <v>63.194444444444443</v>
      </c>
      <c r="J44" s="5">
        <v>24</v>
      </c>
      <c r="K44" s="5" t="s">
        <v>919</v>
      </c>
      <c r="L44" s="5" t="s">
        <v>920</v>
      </c>
      <c r="M44" s="5"/>
    </row>
    <row r="45" spans="1:13" ht="15">
      <c r="A45" s="5" t="str">
        <f t="shared" si="0"/>
        <v>완료</v>
      </c>
      <c r="B45" s="5" t="s">
        <v>172</v>
      </c>
      <c r="C45" s="5" t="s">
        <v>172</v>
      </c>
      <c r="D45" s="5" t="s">
        <v>173</v>
      </c>
      <c r="E45" s="5" t="s">
        <v>89</v>
      </c>
      <c r="F45" s="8">
        <f>IFERROR(AVERAGEIF(Station_Visual_Nodes!$D:$D,B45,Station_Visual_Nodes!$I:$I),"")</f>
        <v>1424</v>
      </c>
      <c r="G45" s="8">
        <f>IFERROR(AVERAGEIF(Station_Visual_Nodes!$D:$D,B45,Station_Visual_Nodes!$J:$J),"")</f>
        <v>1740</v>
      </c>
      <c r="H45" s="11">
        <f>IF(F45="","",F45/Config!$B$2*100)</f>
        <v>27.8125</v>
      </c>
      <c r="I45" s="11">
        <f>IF(G45="","",G45/Config!$B$3*100)</f>
        <v>60.416666666666664</v>
      </c>
      <c r="J45" s="5">
        <v>24</v>
      </c>
      <c r="K45" s="5" t="s">
        <v>919</v>
      </c>
      <c r="L45" s="5" t="s">
        <v>920</v>
      </c>
      <c r="M45" s="5"/>
    </row>
    <row r="46" spans="1:13" ht="15">
      <c r="A46" s="5" t="str">
        <f t="shared" si="0"/>
        <v>완료</v>
      </c>
      <c r="B46" s="5" t="s">
        <v>174</v>
      </c>
      <c r="C46" s="5" t="s">
        <v>174</v>
      </c>
      <c r="D46" s="5" t="s">
        <v>175</v>
      </c>
      <c r="E46" s="5" t="s">
        <v>97</v>
      </c>
      <c r="F46" s="8">
        <f>IFERROR(AVERAGEIF(Station_Visual_Nodes!$D:$D,B46,Station_Visual_Nodes!$I:$I),"")</f>
        <v>1424</v>
      </c>
      <c r="G46" s="8">
        <f>IFERROR(AVERAGEIF(Station_Visual_Nodes!$D:$D,B46,Station_Visual_Nodes!$J:$J),"")</f>
        <v>1660</v>
      </c>
      <c r="H46" s="11">
        <f>IF(F46="","",F46/Config!$B$2*100)</f>
        <v>27.8125</v>
      </c>
      <c r="I46" s="11">
        <f>IF(G46="","",G46/Config!$B$3*100)</f>
        <v>57.638888888888886</v>
      </c>
      <c r="J46" s="5">
        <v>42</v>
      </c>
      <c r="K46" s="5" t="s">
        <v>919</v>
      </c>
      <c r="L46" s="5" t="s">
        <v>920</v>
      </c>
      <c r="M46" s="5"/>
    </row>
    <row r="47" spans="1:13" ht="15">
      <c r="A47" s="5" t="str">
        <f t="shared" si="0"/>
        <v>완료</v>
      </c>
      <c r="B47" s="5" t="s">
        <v>176</v>
      </c>
      <c r="C47" s="5" t="s">
        <v>176</v>
      </c>
      <c r="D47" s="5" t="s">
        <v>177</v>
      </c>
      <c r="E47" s="5" t="s">
        <v>89</v>
      </c>
      <c r="F47" s="8">
        <f>IFERROR(AVERAGEIF(Station_Visual_Nodes!$D:$D,B47,Station_Visual_Nodes!$I:$I),"")</f>
        <v>1424</v>
      </c>
      <c r="G47" s="8">
        <f>IFERROR(AVERAGEIF(Station_Visual_Nodes!$D:$D,B47,Station_Visual_Nodes!$J:$J),"")</f>
        <v>1500</v>
      </c>
      <c r="H47" s="11">
        <f>IF(F47="","",F47/Config!$B$2*100)</f>
        <v>27.8125</v>
      </c>
      <c r="I47" s="11">
        <f>IF(G47="","",G47/Config!$B$3*100)</f>
        <v>52.083333333333336</v>
      </c>
      <c r="J47" s="5">
        <v>24</v>
      </c>
      <c r="K47" s="5" t="s">
        <v>919</v>
      </c>
      <c r="L47" s="5" t="s">
        <v>920</v>
      </c>
      <c r="M47" s="5"/>
    </row>
    <row r="48" spans="1:13" ht="15">
      <c r="A48" s="5" t="str">
        <f t="shared" si="0"/>
        <v>완료</v>
      </c>
      <c r="B48" s="5" t="s">
        <v>178</v>
      </c>
      <c r="C48" s="5" t="s">
        <v>178</v>
      </c>
      <c r="D48" s="5" t="s">
        <v>179</v>
      </c>
      <c r="E48" s="5" t="s">
        <v>106</v>
      </c>
      <c r="F48" s="8">
        <f>IFERROR(AVERAGEIF(Station_Visual_Nodes!$D:$D,B48,Station_Visual_Nodes!$I:$I),"")</f>
        <v>1424</v>
      </c>
      <c r="G48" s="8">
        <f>IFERROR(AVERAGEIF(Station_Visual_Nodes!$D:$D,B48,Station_Visual_Nodes!$J:$J),"")</f>
        <v>1332</v>
      </c>
      <c r="H48" s="11">
        <f>IF(F48="","",F48/Config!$B$2*100)</f>
        <v>27.8125</v>
      </c>
      <c r="I48" s="11">
        <f>IF(G48="","",G48/Config!$B$3*100)</f>
        <v>46.25</v>
      </c>
      <c r="J48" s="5">
        <v>42</v>
      </c>
      <c r="K48" s="5" t="s">
        <v>919</v>
      </c>
      <c r="L48" s="5" t="s">
        <v>920</v>
      </c>
      <c r="M48" s="5"/>
    </row>
    <row r="49" spans="1:13" ht="15">
      <c r="A49" s="5" t="str">
        <f t="shared" si="0"/>
        <v>완료</v>
      </c>
      <c r="B49" s="5" t="s">
        <v>180</v>
      </c>
      <c r="C49" s="5" t="s">
        <v>180</v>
      </c>
      <c r="D49" s="5" t="s">
        <v>181</v>
      </c>
      <c r="E49" s="5" t="s">
        <v>89</v>
      </c>
      <c r="F49" s="8">
        <f>IFERROR(AVERAGEIF(Station_Visual_Nodes!$D:$D,B49,Station_Visual_Nodes!$I:$I),"")</f>
        <v>1494</v>
      </c>
      <c r="G49" s="8">
        <f>IFERROR(AVERAGEIF(Station_Visual_Nodes!$D:$D,B49,Station_Visual_Nodes!$J:$J),"")</f>
        <v>1244</v>
      </c>
      <c r="H49" s="11">
        <f>IF(F49="","",F49/Config!$B$2*100)</f>
        <v>29.1796875</v>
      </c>
      <c r="I49" s="11">
        <f>IF(G49="","",G49/Config!$B$3*100)</f>
        <v>43.194444444444443</v>
      </c>
      <c r="J49" s="5">
        <v>24</v>
      </c>
      <c r="K49" s="5" t="s">
        <v>919</v>
      </c>
      <c r="L49" s="5" t="s">
        <v>920</v>
      </c>
      <c r="M49" s="5"/>
    </row>
    <row r="50" spans="1:13" ht="15">
      <c r="A50" s="5" t="str">
        <f t="shared" si="0"/>
        <v>완료</v>
      </c>
      <c r="B50" s="5" t="s">
        <v>182</v>
      </c>
      <c r="C50" s="5" t="s">
        <v>182</v>
      </c>
      <c r="D50" s="5" t="s">
        <v>183</v>
      </c>
      <c r="E50" s="5" t="s">
        <v>89</v>
      </c>
      <c r="F50" s="8">
        <f>IFERROR(AVERAGEIF(Station_Visual_Nodes!$D:$D,B50,Station_Visual_Nodes!$I:$I),"")</f>
        <v>1536</v>
      </c>
      <c r="G50" s="8">
        <f>IFERROR(AVERAGEIF(Station_Visual_Nodes!$D:$D,B50,Station_Visual_Nodes!$J:$J),"")</f>
        <v>1194</v>
      </c>
      <c r="H50" s="11">
        <f>IF(F50="","",F50/Config!$B$2*100)</f>
        <v>30</v>
      </c>
      <c r="I50" s="11">
        <f>IF(G50="","",G50/Config!$B$3*100)</f>
        <v>41.458333333333336</v>
      </c>
      <c r="J50" s="5">
        <v>24</v>
      </c>
      <c r="K50" s="5" t="s">
        <v>919</v>
      </c>
      <c r="L50" s="5" t="s">
        <v>920</v>
      </c>
      <c r="M50" s="5"/>
    </row>
    <row r="51" spans="1:13" ht="15">
      <c r="A51" s="5" t="str">
        <f t="shared" si="0"/>
        <v>완료</v>
      </c>
      <c r="B51" s="5" t="s">
        <v>184</v>
      </c>
      <c r="C51" s="5" t="s">
        <v>184</v>
      </c>
      <c r="D51" s="5" t="s">
        <v>185</v>
      </c>
      <c r="E51" s="5" t="s">
        <v>89</v>
      </c>
      <c r="F51" s="8">
        <f>IFERROR(AVERAGEIF(Station_Visual_Nodes!$D:$D,B51,Station_Visual_Nodes!$I:$I),"")</f>
        <v>1576</v>
      </c>
      <c r="G51" s="8">
        <f>IFERROR(AVERAGEIF(Station_Visual_Nodes!$D:$D,B51,Station_Visual_Nodes!$J:$J),"")</f>
        <v>1144</v>
      </c>
      <c r="H51" s="11">
        <f>IF(F51="","",F51/Config!$B$2*100)</f>
        <v>30.78125</v>
      </c>
      <c r="I51" s="11">
        <f>IF(G51="","",G51/Config!$B$3*100)</f>
        <v>39.722222222222221</v>
      </c>
      <c r="J51" s="5">
        <v>24</v>
      </c>
      <c r="K51" s="5" t="s">
        <v>919</v>
      </c>
      <c r="L51" s="5" t="s">
        <v>920</v>
      </c>
      <c r="M51" s="5"/>
    </row>
    <row r="52" spans="1:13" ht="15">
      <c r="A52" s="5" t="str">
        <f t="shared" si="0"/>
        <v>완료</v>
      </c>
      <c r="B52" s="5" t="s">
        <v>186</v>
      </c>
      <c r="C52" s="5" t="s">
        <v>186</v>
      </c>
      <c r="D52" s="5" t="s">
        <v>187</v>
      </c>
      <c r="E52" s="5" t="s">
        <v>89</v>
      </c>
      <c r="F52" s="8">
        <f>IFERROR(AVERAGEIF(Station_Visual_Nodes!$D:$D,B52,Station_Visual_Nodes!$I:$I),"")</f>
        <v>1664</v>
      </c>
      <c r="G52" s="8">
        <f>IFERROR(AVERAGEIF(Station_Visual_Nodes!$D:$D,B52,Station_Visual_Nodes!$J:$J),"")</f>
        <v>1144</v>
      </c>
      <c r="H52" s="11">
        <f>IF(F52="","",F52/Config!$B$2*100)</f>
        <v>32.5</v>
      </c>
      <c r="I52" s="11">
        <f>IF(G52="","",G52/Config!$B$3*100)</f>
        <v>39.722222222222221</v>
      </c>
      <c r="J52" s="5">
        <v>24</v>
      </c>
      <c r="K52" s="5" t="s">
        <v>919</v>
      </c>
      <c r="L52" s="5" t="s">
        <v>920</v>
      </c>
      <c r="M52" s="5"/>
    </row>
    <row r="53" spans="1:13" ht="15">
      <c r="A53" s="5" t="str">
        <f t="shared" si="0"/>
        <v>완료</v>
      </c>
      <c r="B53" s="5" t="s">
        <v>188</v>
      </c>
      <c r="C53" s="5" t="s">
        <v>188</v>
      </c>
      <c r="D53" s="5" t="s">
        <v>189</v>
      </c>
      <c r="E53" s="5" t="s">
        <v>97</v>
      </c>
      <c r="F53" s="8">
        <f>IFERROR(AVERAGEIF(Station_Visual_Nodes!$D:$D,B53,Station_Visual_Nodes!$I:$I),"")</f>
        <v>1752</v>
      </c>
      <c r="G53" s="8">
        <f>IFERROR(AVERAGEIF(Station_Visual_Nodes!$D:$D,B53,Station_Visual_Nodes!$J:$J),"")</f>
        <v>1144</v>
      </c>
      <c r="H53" s="11">
        <f>IF(F53="","",F53/Config!$B$2*100)</f>
        <v>34.21875</v>
      </c>
      <c r="I53" s="11">
        <f>IF(G53="","",G53/Config!$B$3*100)</f>
        <v>39.722222222222221</v>
      </c>
      <c r="J53" s="5">
        <v>42</v>
      </c>
      <c r="K53" s="5" t="s">
        <v>919</v>
      </c>
      <c r="L53" s="5" t="s">
        <v>920</v>
      </c>
      <c r="M53" s="5"/>
    </row>
    <row r="54" spans="1:13" ht="15">
      <c r="A54" s="5" t="str">
        <f t="shared" si="0"/>
        <v>완료</v>
      </c>
      <c r="B54" s="5" t="s">
        <v>190</v>
      </c>
      <c r="C54" s="5" t="s">
        <v>190</v>
      </c>
      <c r="D54" s="5" t="s">
        <v>191</v>
      </c>
      <c r="E54" s="5" t="s">
        <v>89</v>
      </c>
      <c r="F54" s="8">
        <f>IFERROR(AVERAGEIF(Station_Visual_Nodes!$D:$D,B54,Station_Visual_Nodes!$I:$I),"")</f>
        <v>2972</v>
      </c>
      <c r="G54" s="8">
        <f>IFERROR(AVERAGEIF(Station_Visual_Nodes!$D:$D,B54,Station_Visual_Nodes!$J:$J),"")</f>
        <v>1204</v>
      </c>
      <c r="H54" s="11">
        <f>IF(F54="","",F54/Config!$B$2*100)</f>
        <v>58.046875</v>
      </c>
      <c r="I54" s="11">
        <f>IF(G54="","",G54/Config!$B$3*100)</f>
        <v>41.805555555555557</v>
      </c>
      <c r="J54" s="5">
        <v>24</v>
      </c>
      <c r="K54" s="5" t="s">
        <v>919</v>
      </c>
      <c r="L54" s="5" t="s">
        <v>920</v>
      </c>
      <c r="M54" s="5"/>
    </row>
    <row r="55" spans="1:13" ht="15">
      <c r="A55" s="5" t="str">
        <f t="shared" si="0"/>
        <v>완료</v>
      </c>
      <c r="B55" s="5" t="s">
        <v>193</v>
      </c>
      <c r="C55" s="5" t="s">
        <v>193</v>
      </c>
      <c r="D55" s="5" t="s">
        <v>194</v>
      </c>
      <c r="E55" s="5" t="s">
        <v>89</v>
      </c>
      <c r="F55" s="8">
        <f>IFERROR(AVERAGEIF(Station_Visual_Nodes!$D:$D,B55,Station_Visual_Nodes!$I:$I),"")</f>
        <v>2972</v>
      </c>
      <c r="G55" s="8">
        <f>IFERROR(AVERAGEIF(Station_Visual_Nodes!$D:$D,B55,Station_Visual_Nodes!$J:$J),"")</f>
        <v>1064</v>
      </c>
      <c r="H55" s="11">
        <f>IF(F55="","",F55/Config!$B$2*100)</f>
        <v>58.046875</v>
      </c>
      <c r="I55" s="11">
        <f>IF(G55="","",G55/Config!$B$3*100)</f>
        <v>36.944444444444443</v>
      </c>
      <c r="J55" s="5">
        <v>24</v>
      </c>
      <c r="K55" s="5" t="s">
        <v>919</v>
      </c>
      <c r="L55" s="5" t="s">
        <v>920</v>
      </c>
      <c r="M55" s="5"/>
    </row>
    <row r="56" spans="1:13" ht="15">
      <c r="A56" s="5" t="str">
        <f t="shared" si="0"/>
        <v>완료</v>
      </c>
      <c r="B56" s="5" t="s">
        <v>195</v>
      </c>
      <c r="C56" s="5" t="s">
        <v>195</v>
      </c>
      <c r="D56" s="5" t="s">
        <v>196</v>
      </c>
      <c r="E56" s="5" t="s">
        <v>89</v>
      </c>
      <c r="F56" s="8">
        <f>IFERROR(AVERAGEIF(Station_Visual_Nodes!$D:$D,B56,Station_Visual_Nodes!$I:$I),"")</f>
        <v>2784</v>
      </c>
      <c r="G56" s="8">
        <f>IFERROR(AVERAGEIF(Station_Visual_Nodes!$D:$D,B56,Station_Visual_Nodes!$J:$J),"")</f>
        <v>1064</v>
      </c>
      <c r="H56" s="11">
        <f>IF(F56="","",F56/Config!$B$2*100)</f>
        <v>54.374999999999993</v>
      </c>
      <c r="I56" s="11">
        <f>IF(G56="","",G56/Config!$B$3*100)</f>
        <v>36.944444444444443</v>
      </c>
      <c r="J56" s="5">
        <v>24</v>
      </c>
      <c r="K56" s="5" t="s">
        <v>919</v>
      </c>
      <c r="L56" s="5" t="s">
        <v>920</v>
      </c>
      <c r="M56" s="5"/>
    </row>
    <row r="57" spans="1:13" ht="15">
      <c r="A57" s="5" t="str">
        <f t="shared" si="0"/>
        <v>완료</v>
      </c>
      <c r="B57" s="5" t="s">
        <v>197</v>
      </c>
      <c r="C57" s="5" t="s">
        <v>197</v>
      </c>
      <c r="D57" s="5" t="s">
        <v>198</v>
      </c>
      <c r="E57" s="5" t="s">
        <v>89</v>
      </c>
      <c r="F57" s="8">
        <f>IFERROR(AVERAGEIF(Station_Visual_Nodes!$D:$D,B57,Station_Visual_Nodes!$I:$I),"")</f>
        <v>1320</v>
      </c>
      <c r="G57" s="8">
        <f>IFERROR(AVERAGEIF(Station_Visual_Nodes!$D:$D,B57,Station_Visual_Nodes!$J:$J),"")</f>
        <v>1720</v>
      </c>
      <c r="H57" s="11">
        <f>IF(F57="","",F57/Config!$B$2*100)</f>
        <v>25.78125</v>
      </c>
      <c r="I57" s="11">
        <f>IF(G57="","",G57/Config!$B$3*100)</f>
        <v>59.722222222222221</v>
      </c>
      <c r="J57" s="5">
        <v>24</v>
      </c>
      <c r="K57" s="5" t="s">
        <v>919</v>
      </c>
      <c r="L57" s="5" t="s">
        <v>920</v>
      </c>
      <c r="M57" s="5"/>
    </row>
    <row r="58" spans="1:13" ht="15">
      <c r="A58" s="5" t="str">
        <f t="shared" si="0"/>
        <v>완료</v>
      </c>
      <c r="B58" s="5" t="s">
        <v>200</v>
      </c>
      <c r="C58" s="5" t="s">
        <v>200</v>
      </c>
      <c r="D58" s="5" t="s">
        <v>201</v>
      </c>
      <c r="E58" s="5" t="s">
        <v>89</v>
      </c>
      <c r="F58" s="8">
        <f>IFERROR(AVERAGEIF(Station_Visual_Nodes!$D:$D,B58,Station_Visual_Nodes!$I:$I),"")</f>
        <v>1220</v>
      </c>
      <c r="G58" s="8">
        <f>IFERROR(AVERAGEIF(Station_Visual_Nodes!$D:$D,B58,Station_Visual_Nodes!$J:$J),"")</f>
        <v>1620</v>
      </c>
      <c r="H58" s="11">
        <f>IF(F58="","",F58/Config!$B$2*100)</f>
        <v>23.828125</v>
      </c>
      <c r="I58" s="11">
        <f>IF(G58="","",G58/Config!$B$3*100)</f>
        <v>56.25</v>
      </c>
      <c r="J58" s="5">
        <v>24</v>
      </c>
      <c r="K58" s="5" t="s">
        <v>919</v>
      </c>
      <c r="L58" s="5" t="s">
        <v>920</v>
      </c>
      <c r="M58" s="5"/>
    </row>
    <row r="59" spans="1:13" ht="15">
      <c r="A59" s="5" t="str">
        <f t="shared" si="0"/>
        <v>완료</v>
      </c>
      <c r="B59" s="5" t="s">
        <v>202</v>
      </c>
      <c r="C59" s="5" t="s">
        <v>202</v>
      </c>
      <c r="D59" s="5" t="s">
        <v>203</v>
      </c>
      <c r="E59" s="5" t="s">
        <v>89</v>
      </c>
      <c r="F59" s="8">
        <f>IFERROR(AVERAGEIF(Station_Visual_Nodes!$D:$D,B59,Station_Visual_Nodes!$I:$I),"")</f>
        <v>1108</v>
      </c>
      <c r="G59" s="8">
        <f>IFERROR(AVERAGEIF(Station_Visual_Nodes!$D:$D,B59,Station_Visual_Nodes!$J:$J),"")</f>
        <v>1508</v>
      </c>
      <c r="H59" s="11">
        <f>IF(F59="","",F59/Config!$B$2*100)</f>
        <v>21.640625</v>
      </c>
      <c r="I59" s="11">
        <f>IF(G59="","",G59/Config!$B$3*100)</f>
        <v>52.361111111111114</v>
      </c>
      <c r="J59" s="5">
        <v>24</v>
      </c>
      <c r="K59" s="5" t="s">
        <v>919</v>
      </c>
      <c r="L59" s="5" t="s">
        <v>920</v>
      </c>
      <c r="M59" s="5"/>
    </row>
    <row r="60" spans="1:13" ht="15">
      <c r="A60" s="5" t="str">
        <f t="shared" si="0"/>
        <v>완료</v>
      </c>
      <c r="B60" s="5" t="s">
        <v>204</v>
      </c>
      <c r="C60" s="5" t="s">
        <v>204</v>
      </c>
      <c r="D60" s="5" t="s">
        <v>205</v>
      </c>
      <c r="E60" s="5" t="s">
        <v>97</v>
      </c>
      <c r="F60" s="8">
        <f>IFERROR(AVERAGEIF(Station_Visual_Nodes!$D:$D,B60,Station_Visual_Nodes!$I:$I),"")</f>
        <v>1108</v>
      </c>
      <c r="G60" s="8">
        <f>IFERROR(AVERAGEIF(Station_Visual_Nodes!$D:$D,B60,Station_Visual_Nodes!$J:$J),"")</f>
        <v>1348</v>
      </c>
      <c r="H60" s="11">
        <f>IF(F60="","",F60/Config!$B$2*100)</f>
        <v>21.640625</v>
      </c>
      <c r="I60" s="11">
        <f>IF(G60="","",G60/Config!$B$3*100)</f>
        <v>46.805555555555557</v>
      </c>
      <c r="J60" s="5">
        <v>42</v>
      </c>
      <c r="K60" s="5" t="s">
        <v>919</v>
      </c>
      <c r="L60" s="5" t="s">
        <v>920</v>
      </c>
      <c r="M60" s="5"/>
    </row>
    <row r="61" spans="1:13" ht="15">
      <c r="A61" s="5" t="str">
        <f t="shared" si="0"/>
        <v>완료</v>
      </c>
      <c r="B61" s="5" t="s">
        <v>207</v>
      </c>
      <c r="C61" s="5" t="s">
        <v>207</v>
      </c>
      <c r="D61" s="5" t="s">
        <v>208</v>
      </c>
      <c r="E61" s="5" t="s">
        <v>209</v>
      </c>
      <c r="F61" s="8">
        <f>IFERROR(AVERAGEIF(Station_Visual_Nodes!$D:$D,B61,Station_Visual_Nodes!$I:$I),"")</f>
        <v>984</v>
      </c>
      <c r="G61" s="8">
        <f>IFERROR(AVERAGEIF(Station_Visual_Nodes!$D:$D,B61,Station_Visual_Nodes!$J:$J),"")</f>
        <v>488</v>
      </c>
      <c r="H61" s="11">
        <f>IF(F61="","",F61/Config!$B$2*100)</f>
        <v>19.21875</v>
      </c>
      <c r="I61" s="11">
        <f>IF(G61="","",G61/Config!$B$3*100)</f>
        <v>16.944444444444446</v>
      </c>
      <c r="J61" s="5">
        <v>24</v>
      </c>
      <c r="K61" s="5" t="s">
        <v>919</v>
      </c>
      <c r="L61" s="5" t="s">
        <v>920</v>
      </c>
      <c r="M61" s="5"/>
    </row>
    <row r="62" spans="1:13" ht="15">
      <c r="A62" s="5" t="str">
        <f t="shared" si="0"/>
        <v>완료</v>
      </c>
      <c r="B62" s="5" t="s">
        <v>211</v>
      </c>
      <c r="C62" s="5" t="s">
        <v>211</v>
      </c>
      <c r="D62" s="5" t="s">
        <v>212</v>
      </c>
      <c r="E62" s="5" t="s">
        <v>209</v>
      </c>
      <c r="F62" s="8">
        <f>IFERROR(AVERAGEIF(Station_Visual_Nodes!$D:$D,B62,Station_Visual_Nodes!$I:$I),"")</f>
        <v>1140</v>
      </c>
      <c r="G62" s="8">
        <f>IFERROR(AVERAGEIF(Station_Visual_Nodes!$D:$D,B62,Station_Visual_Nodes!$J:$J),"")</f>
        <v>488</v>
      </c>
      <c r="H62" s="11">
        <f>IF(F62="","",F62/Config!$B$2*100)</f>
        <v>22.265625</v>
      </c>
      <c r="I62" s="11">
        <f>IF(G62="","",G62/Config!$B$3*100)</f>
        <v>16.944444444444446</v>
      </c>
      <c r="J62" s="5">
        <v>24</v>
      </c>
      <c r="K62" s="5" t="s">
        <v>919</v>
      </c>
      <c r="L62" s="5" t="s">
        <v>920</v>
      </c>
      <c r="M62" s="5"/>
    </row>
    <row r="63" spans="1:13" ht="15">
      <c r="A63" s="5" t="str">
        <f t="shared" si="0"/>
        <v>완료</v>
      </c>
      <c r="B63" s="5" t="s">
        <v>213</v>
      </c>
      <c r="C63" s="5" t="s">
        <v>213</v>
      </c>
      <c r="D63" s="5" t="s">
        <v>214</v>
      </c>
      <c r="E63" s="5" t="s">
        <v>215</v>
      </c>
      <c r="F63" s="8">
        <f>IFERROR(AVERAGEIF(Station_Visual_Nodes!$D:$D,B63,Station_Visual_Nodes!$I:$I),"")</f>
        <v>1296</v>
      </c>
      <c r="G63" s="8">
        <f>IFERROR(AVERAGEIF(Station_Visual_Nodes!$D:$D,B63,Station_Visual_Nodes!$J:$J),"")</f>
        <v>488</v>
      </c>
      <c r="H63" s="11">
        <f>IF(F63="","",F63/Config!$B$2*100)</f>
        <v>25.3125</v>
      </c>
      <c r="I63" s="11">
        <f>IF(G63="","",G63/Config!$B$3*100)</f>
        <v>16.944444444444446</v>
      </c>
      <c r="J63" s="5">
        <v>42</v>
      </c>
      <c r="K63" s="5" t="s">
        <v>919</v>
      </c>
      <c r="L63" s="5" t="s">
        <v>920</v>
      </c>
      <c r="M63" s="5"/>
    </row>
    <row r="64" spans="1:13" ht="15">
      <c r="A64" s="5" t="str">
        <f t="shared" si="0"/>
        <v>완료</v>
      </c>
      <c r="B64" s="5" t="s">
        <v>217</v>
      </c>
      <c r="C64" s="5" t="s">
        <v>217</v>
      </c>
      <c r="D64" s="5" t="s">
        <v>218</v>
      </c>
      <c r="E64" s="5" t="s">
        <v>215</v>
      </c>
      <c r="F64" s="8">
        <f>IFERROR(AVERAGEIF(Station_Visual_Nodes!$D:$D,B64,Station_Visual_Nodes!$I:$I),"")</f>
        <v>1460</v>
      </c>
      <c r="G64" s="8">
        <f>IFERROR(AVERAGEIF(Station_Visual_Nodes!$D:$D,B64,Station_Visual_Nodes!$J:$J),"")</f>
        <v>488</v>
      </c>
      <c r="H64" s="11">
        <f>IF(F64="","",F64/Config!$B$2*100)</f>
        <v>28.515625</v>
      </c>
      <c r="I64" s="11">
        <f>IF(G64="","",G64/Config!$B$3*100)</f>
        <v>16.944444444444446</v>
      </c>
      <c r="J64" s="5">
        <v>42</v>
      </c>
      <c r="K64" s="5" t="s">
        <v>919</v>
      </c>
      <c r="L64" s="5" t="s">
        <v>920</v>
      </c>
      <c r="M64" s="5"/>
    </row>
    <row r="65" spans="1:13" ht="15">
      <c r="A65" s="5" t="str">
        <f t="shared" si="0"/>
        <v>완료</v>
      </c>
      <c r="B65" s="5" t="s">
        <v>219</v>
      </c>
      <c r="C65" s="5" t="s">
        <v>219</v>
      </c>
      <c r="D65" s="5" t="s">
        <v>220</v>
      </c>
      <c r="E65" s="5" t="s">
        <v>209</v>
      </c>
      <c r="F65" s="8">
        <f>IFERROR(AVERAGEIF(Station_Visual_Nodes!$D:$D,B65,Station_Visual_Nodes!$I:$I),"")</f>
        <v>1616</v>
      </c>
      <c r="G65" s="8">
        <f>IFERROR(AVERAGEIF(Station_Visual_Nodes!$D:$D,B65,Station_Visual_Nodes!$J:$J),"")</f>
        <v>488</v>
      </c>
      <c r="H65" s="11">
        <f>IF(F65="","",F65/Config!$B$2*100)</f>
        <v>31.5625</v>
      </c>
      <c r="I65" s="11">
        <f>IF(G65="","",G65/Config!$B$3*100)</f>
        <v>16.944444444444446</v>
      </c>
      <c r="J65" s="5">
        <v>24</v>
      </c>
      <c r="K65" s="5" t="s">
        <v>919</v>
      </c>
      <c r="L65" s="5" t="s">
        <v>920</v>
      </c>
      <c r="M65" s="5"/>
    </row>
    <row r="66" spans="1:13" ht="15">
      <c r="A66" s="5" t="str">
        <f t="shared" ref="A66:A129" si="1">IF(OR(F66="",G66=""),"미작업","완료")</f>
        <v>완료</v>
      </c>
      <c r="B66" s="5" t="s">
        <v>221</v>
      </c>
      <c r="C66" s="5" t="s">
        <v>221</v>
      </c>
      <c r="D66" s="5" t="s">
        <v>222</v>
      </c>
      <c r="E66" s="5" t="s">
        <v>209</v>
      </c>
      <c r="F66" s="8">
        <f>IFERROR(AVERAGEIF(Station_Visual_Nodes!$D:$D,B66,Station_Visual_Nodes!$I:$I),"")</f>
        <v>1772</v>
      </c>
      <c r="G66" s="8">
        <f>IFERROR(AVERAGEIF(Station_Visual_Nodes!$D:$D,B66,Station_Visual_Nodes!$J:$J),"")</f>
        <v>488</v>
      </c>
      <c r="H66" s="11">
        <f>IF(F66="","",F66/Config!$B$2*100)</f>
        <v>34.609375</v>
      </c>
      <c r="I66" s="11">
        <f>IF(G66="","",G66/Config!$B$3*100)</f>
        <v>16.944444444444446</v>
      </c>
      <c r="J66" s="5">
        <v>24</v>
      </c>
      <c r="K66" s="5" t="s">
        <v>919</v>
      </c>
      <c r="L66" s="5" t="s">
        <v>920</v>
      </c>
      <c r="M66" s="5"/>
    </row>
    <row r="67" spans="1:13" ht="15">
      <c r="A67" s="5" t="str">
        <f t="shared" si="1"/>
        <v>완료</v>
      </c>
      <c r="B67" s="5" t="s">
        <v>223</v>
      </c>
      <c r="C67" s="5" t="s">
        <v>223</v>
      </c>
      <c r="D67" s="5" t="s">
        <v>224</v>
      </c>
      <c r="E67" s="5" t="s">
        <v>209</v>
      </c>
      <c r="F67" s="8">
        <f>IFERROR(AVERAGEIF(Station_Visual_Nodes!$D:$D,B67,Station_Visual_Nodes!$I:$I),"")</f>
        <v>1928</v>
      </c>
      <c r="G67" s="8">
        <f>IFERROR(AVERAGEIF(Station_Visual_Nodes!$D:$D,B67,Station_Visual_Nodes!$J:$J),"")</f>
        <v>488</v>
      </c>
      <c r="H67" s="11">
        <f>IF(F67="","",F67/Config!$B$2*100)</f>
        <v>37.65625</v>
      </c>
      <c r="I67" s="11">
        <f>IF(G67="","",G67/Config!$B$3*100)</f>
        <v>16.944444444444446</v>
      </c>
      <c r="J67" s="5">
        <v>24</v>
      </c>
      <c r="K67" s="5" t="s">
        <v>919</v>
      </c>
      <c r="L67" s="5" t="s">
        <v>920</v>
      </c>
      <c r="M67" s="5"/>
    </row>
    <row r="68" spans="1:13" ht="15">
      <c r="A68" s="5" t="str">
        <f t="shared" si="1"/>
        <v>완료</v>
      </c>
      <c r="B68" s="5" t="s">
        <v>225</v>
      </c>
      <c r="C68" s="5" t="s">
        <v>225</v>
      </c>
      <c r="D68" s="5" t="s">
        <v>226</v>
      </c>
      <c r="E68" s="5" t="s">
        <v>209</v>
      </c>
      <c r="F68" s="8">
        <f>IFERROR(AVERAGEIF(Station_Visual_Nodes!$D:$D,B68,Station_Visual_Nodes!$I:$I),"")</f>
        <v>2084</v>
      </c>
      <c r="G68" s="8">
        <f>IFERROR(AVERAGEIF(Station_Visual_Nodes!$D:$D,B68,Station_Visual_Nodes!$J:$J),"")</f>
        <v>488</v>
      </c>
      <c r="H68" s="11">
        <f>IF(F68="","",F68/Config!$B$2*100)</f>
        <v>40.703125</v>
      </c>
      <c r="I68" s="11">
        <f>IF(G68="","",G68/Config!$B$3*100)</f>
        <v>16.944444444444446</v>
      </c>
      <c r="J68" s="5">
        <v>24</v>
      </c>
      <c r="K68" s="5" t="s">
        <v>919</v>
      </c>
      <c r="L68" s="5" t="s">
        <v>920</v>
      </c>
      <c r="M68" s="5"/>
    </row>
    <row r="69" spans="1:13" ht="15">
      <c r="A69" s="5" t="str">
        <f t="shared" si="1"/>
        <v>완료</v>
      </c>
      <c r="B69" s="5" t="s">
        <v>227</v>
      </c>
      <c r="C69" s="5" t="s">
        <v>227</v>
      </c>
      <c r="D69" s="5" t="s">
        <v>228</v>
      </c>
      <c r="E69" s="5" t="s">
        <v>209</v>
      </c>
      <c r="F69" s="8">
        <f>IFERROR(AVERAGEIF(Station_Visual_Nodes!$D:$D,B69,Station_Visual_Nodes!$I:$I),"")</f>
        <v>2084</v>
      </c>
      <c r="G69" s="8">
        <f>IFERROR(AVERAGEIF(Station_Visual_Nodes!$D:$D,B69,Station_Visual_Nodes!$J:$J),"")</f>
        <v>648</v>
      </c>
      <c r="H69" s="11">
        <f>IF(F69="","",F69/Config!$B$2*100)</f>
        <v>40.703125</v>
      </c>
      <c r="I69" s="11">
        <f>IF(G69="","",G69/Config!$B$3*100)</f>
        <v>22.5</v>
      </c>
      <c r="J69" s="5">
        <v>24</v>
      </c>
      <c r="K69" s="5" t="s">
        <v>919</v>
      </c>
      <c r="L69" s="5" t="s">
        <v>920</v>
      </c>
      <c r="M69" s="5"/>
    </row>
    <row r="70" spans="1:13" ht="15">
      <c r="A70" s="5" t="str">
        <f t="shared" si="1"/>
        <v>완료</v>
      </c>
      <c r="B70" s="5" t="s">
        <v>230</v>
      </c>
      <c r="C70" s="5" t="s">
        <v>230</v>
      </c>
      <c r="D70" s="5" t="s">
        <v>231</v>
      </c>
      <c r="E70" s="5" t="s">
        <v>209</v>
      </c>
      <c r="F70" s="8">
        <f>IFERROR(AVERAGEIF(Station_Visual_Nodes!$D:$D,B70,Station_Visual_Nodes!$I:$I),"")</f>
        <v>2084</v>
      </c>
      <c r="G70" s="8">
        <f>IFERROR(AVERAGEIF(Station_Visual_Nodes!$D:$D,B70,Station_Visual_Nodes!$J:$J),"")</f>
        <v>808</v>
      </c>
      <c r="H70" s="11">
        <f>IF(F70="","",F70/Config!$B$2*100)</f>
        <v>40.703125</v>
      </c>
      <c r="I70" s="11">
        <f>IF(G70="","",G70/Config!$B$3*100)</f>
        <v>28.055555555555557</v>
      </c>
      <c r="J70" s="5">
        <v>24</v>
      </c>
      <c r="K70" s="5" t="s">
        <v>919</v>
      </c>
      <c r="L70" s="5" t="s">
        <v>920</v>
      </c>
      <c r="M70" s="5"/>
    </row>
    <row r="71" spans="1:13" ht="15">
      <c r="A71" s="5" t="str">
        <f t="shared" si="1"/>
        <v>완료</v>
      </c>
      <c r="B71" s="5" t="s">
        <v>232</v>
      </c>
      <c r="C71" s="5" t="s">
        <v>232</v>
      </c>
      <c r="D71" s="5" t="s">
        <v>233</v>
      </c>
      <c r="E71" s="5" t="s">
        <v>234</v>
      </c>
      <c r="F71" s="8">
        <f>IFERROR(AVERAGEIF(Station_Visual_Nodes!$D:$D,B71,Station_Visual_Nodes!$I:$I),"")</f>
        <v>2328</v>
      </c>
      <c r="G71" s="8">
        <f>IFERROR(AVERAGEIF(Station_Visual_Nodes!$D:$D,B71,Station_Visual_Nodes!$J:$J),"")</f>
        <v>1244</v>
      </c>
      <c r="H71" s="11">
        <f>IF(F71="","",F71/Config!$B$2*100)</f>
        <v>45.46875</v>
      </c>
      <c r="I71" s="11">
        <f>IF(G71="","",G71/Config!$B$3*100)</f>
        <v>43.194444444444443</v>
      </c>
      <c r="J71" s="5">
        <v>42</v>
      </c>
      <c r="K71" s="5" t="s">
        <v>919</v>
      </c>
      <c r="L71" s="5" t="s">
        <v>920</v>
      </c>
      <c r="M71" s="5"/>
    </row>
    <row r="72" spans="1:13" ht="15">
      <c r="A72" s="5" t="str">
        <f t="shared" si="1"/>
        <v>완료</v>
      </c>
      <c r="B72" s="5" t="s">
        <v>236</v>
      </c>
      <c r="C72" s="5" t="s">
        <v>236</v>
      </c>
      <c r="D72" s="5" t="s">
        <v>237</v>
      </c>
      <c r="E72" s="5" t="s">
        <v>209</v>
      </c>
      <c r="F72" s="8">
        <f>IFERROR(AVERAGEIF(Station_Visual_Nodes!$D:$D,B72,Station_Visual_Nodes!$I:$I),"")</f>
        <v>2404</v>
      </c>
      <c r="G72" s="8">
        <f>IFERROR(AVERAGEIF(Station_Visual_Nodes!$D:$D,B72,Station_Visual_Nodes!$J:$J),"")</f>
        <v>1356</v>
      </c>
      <c r="H72" s="11">
        <f>IF(F72="","",F72/Config!$B$2*100)</f>
        <v>46.953125</v>
      </c>
      <c r="I72" s="11">
        <f>IF(G72="","",G72/Config!$B$3*100)</f>
        <v>47.083333333333336</v>
      </c>
      <c r="J72" s="5">
        <v>24</v>
      </c>
      <c r="K72" s="5" t="s">
        <v>919</v>
      </c>
      <c r="L72" s="5" t="s">
        <v>920</v>
      </c>
      <c r="M72" s="5"/>
    </row>
    <row r="73" spans="1:13" ht="15">
      <c r="A73" s="5" t="str">
        <f t="shared" si="1"/>
        <v>완료</v>
      </c>
      <c r="B73" s="5" t="s">
        <v>238</v>
      </c>
      <c r="C73" s="5" t="s">
        <v>238</v>
      </c>
      <c r="D73" s="5" t="s">
        <v>239</v>
      </c>
      <c r="E73" s="5" t="s">
        <v>215</v>
      </c>
      <c r="F73" s="8">
        <f>IFERROR(AVERAGEIF(Station_Visual_Nodes!$D:$D,B73,Station_Visual_Nodes!$I:$I),"")</f>
        <v>2480</v>
      </c>
      <c r="G73" s="8">
        <f>IFERROR(AVERAGEIF(Station_Visual_Nodes!$D:$D,B73,Station_Visual_Nodes!$J:$J),"")</f>
        <v>1476</v>
      </c>
      <c r="H73" s="11">
        <f>IF(F73="","",F73/Config!$B$2*100)</f>
        <v>48.4375</v>
      </c>
      <c r="I73" s="11">
        <f>IF(G73="","",G73/Config!$B$3*100)</f>
        <v>51.249999999999993</v>
      </c>
      <c r="J73" s="5">
        <v>42</v>
      </c>
      <c r="K73" s="5" t="s">
        <v>919</v>
      </c>
      <c r="L73" s="5" t="s">
        <v>920</v>
      </c>
      <c r="M73" s="5"/>
    </row>
    <row r="74" spans="1:13" ht="15">
      <c r="A74" s="5" t="str">
        <f t="shared" si="1"/>
        <v>완료</v>
      </c>
      <c r="B74" s="5" t="s">
        <v>240</v>
      </c>
      <c r="C74" s="5" t="s">
        <v>240</v>
      </c>
      <c r="D74" s="5" t="s">
        <v>241</v>
      </c>
      <c r="E74" s="5" t="s">
        <v>209</v>
      </c>
      <c r="F74" s="8">
        <f>IFERROR(AVERAGEIF(Station_Visual_Nodes!$D:$D,B74,Station_Visual_Nodes!$I:$I),"")</f>
        <v>2480</v>
      </c>
      <c r="G74" s="8">
        <f>IFERROR(AVERAGEIF(Station_Visual_Nodes!$D:$D,B74,Station_Visual_Nodes!$J:$J),"")</f>
        <v>1556</v>
      </c>
      <c r="H74" s="11">
        <f>IF(F74="","",F74/Config!$B$2*100)</f>
        <v>48.4375</v>
      </c>
      <c r="I74" s="11">
        <f>IF(G74="","",G74/Config!$B$3*100)</f>
        <v>54.027777777777771</v>
      </c>
      <c r="J74" s="5">
        <v>24</v>
      </c>
      <c r="K74" s="5" t="s">
        <v>919</v>
      </c>
      <c r="L74" s="5" t="s">
        <v>920</v>
      </c>
      <c r="M74" s="5"/>
    </row>
    <row r="75" spans="1:13" ht="15">
      <c r="A75" s="5" t="str">
        <f t="shared" si="1"/>
        <v>완료</v>
      </c>
      <c r="B75" s="5" t="s">
        <v>242</v>
      </c>
      <c r="C75" s="5" t="s">
        <v>242</v>
      </c>
      <c r="D75" s="5" t="s">
        <v>243</v>
      </c>
      <c r="E75" s="5" t="s">
        <v>209</v>
      </c>
      <c r="F75" s="8">
        <f>IFERROR(AVERAGEIF(Station_Visual_Nodes!$D:$D,B75,Station_Visual_Nodes!$I:$I),"")</f>
        <v>2480</v>
      </c>
      <c r="G75" s="8">
        <f>IFERROR(AVERAGEIF(Station_Visual_Nodes!$D:$D,B75,Station_Visual_Nodes!$J:$J),"")</f>
        <v>1636</v>
      </c>
      <c r="H75" s="11">
        <f>IF(F75="","",F75/Config!$B$2*100)</f>
        <v>48.4375</v>
      </c>
      <c r="I75" s="11">
        <f>IF(G75="","",G75/Config!$B$3*100)</f>
        <v>56.805555555555557</v>
      </c>
      <c r="J75" s="5">
        <v>24</v>
      </c>
      <c r="K75" s="5" t="s">
        <v>919</v>
      </c>
      <c r="L75" s="5" t="s">
        <v>920</v>
      </c>
      <c r="M75" s="5"/>
    </row>
    <row r="76" spans="1:13" ht="15">
      <c r="A76" s="5" t="str">
        <f t="shared" si="1"/>
        <v>완료</v>
      </c>
      <c r="B76" s="5" t="s">
        <v>244</v>
      </c>
      <c r="C76" s="5" t="s">
        <v>244</v>
      </c>
      <c r="D76" s="5" t="s">
        <v>245</v>
      </c>
      <c r="E76" s="5" t="s">
        <v>209</v>
      </c>
      <c r="F76" s="8">
        <f>IFERROR(AVERAGEIF(Station_Visual_Nodes!$D:$D,B76,Station_Visual_Nodes!$I:$I),"")</f>
        <v>2480</v>
      </c>
      <c r="G76" s="8">
        <f>IFERROR(AVERAGEIF(Station_Visual_Nodes!$D:$D,B76,Station_Visual_Nodes!$J:$J),"")</f>
        <v>1760</v>
      </c>
      <c r="H76" s="11">
        <f>IF(F76="","",F76/Config!$B$2*100)</f>
        <v>48.4375</v>
      </c>
      <c r="I76" s="11">
        <f>IF(G76="","",G76/Config!$B$3*100)</f>
        <v>61.111111111111114</v>
      </c>
      <c r="J76" s="5">
        <v>24</v>
      </c>
      <c r="K76" s="5" t="s">
        <v>919</v>
      </c>
      <c r="L76" s="5" t="s">
        <v>920</v>
      </c>
      <c r="M76" s="5"/>
    </row>
    <row r="77" spans="1:13" ht="15">
      <c r="A77" s="5" t="str">
        <f t="shared" si="1"/>
        <v>완료</v>
      </c>
      <c r="B77" s="5" t="s">
        <v>246</v>
      </c>
      <c r="C77" s="5" t="s">
        <v>246</v>
      </c>
      <c r="D77" s="5" t="s">
        <v>247</v>
      </c>
      <c r="E77" s="5" t="s">
        <v>209</v>
      </c>
      <c r="F77" s="8">
        <f>IFERROR(AVERAGEIF(Station_Visual_Nodes!$D:$D,B77,Station_Visual_Nodes!$I:$I),"")</f>
        <v>2480</v>
      </c>
      <c r="G77" s="8">
        <f>IFERROR(AVERAGEIF(Station_Visual_Nodes!$D:$D,B77,Station_Visual_Nodes!$J:$J),"")</f>
        <v>1828</v>
      </c>
      <c r="H77" s="11">
        <f>IF(F77="","",F77/Config!$B$2*100)</f>
        <v>48.4375</v>
      </c>
      <c r="I77" s="11">
        <f>IF(G77="","",G77/Config!$B$3*100)</f>
        <v>63.472222222222221</v>
      </c>
      <c r="J77" s="5">
        <v>24</v>
      </c>
      <c r="K77" s="5" t="s">
        <v>919</v>
      </c>
      <c r="L77" s="5" t="s">
        <v>920</v>
      </c>
      <c r="M77" s="5"/>
    </row>
    <row r="78" spans="1:13" ht="15">
      <c r="A78" s="5" t="str">
        <f t="shared" si="1"/>
        <v>완료</v>
      </c>
      <c r="B78" s="5" t="s">
        <v>248</v>
      </c>
      <c r="C78" s="5" t="s">
        <v>248</v>
      </c>
      <c r="D78" s="5" t="s">
        <v>249</v>
      </c>
      <c r="E78" s="5" t="s">
        <v>209</v>
      </c>
      <c r="F78" s="8">
        <f>IFERROR(AVERAGEIF(Station_Visual_Nodes!$D:$D,B78,Station_Visual_Nodes!$I:$I),"")</f>
        <v>2480</v>
      </c>
      <c r="G78" s="8">
        <f>IFERROR(AVERAGEIF(Station_Visual_Nodes!$D:$D,B78,Station_Visual_Nodes!$J:$J),"")</f>
        <v>1884</v>
      </c>
      <c r="H78" s="11">
        <f>IF(F78="","",F78/Config!$B$2*100)</f>
        <v>48.4375</v>
      </c>
      <c r="I78" s="11">
        <f>IF(G78="","",G78/Config!$B$3*100)</f>
        <v>65.416666666666671</v>
      </c>
      <c r="J78" s="5">
        <v>24</v>
      </c>
      <c r="K78" s="5" t="s">
        <v>919</v>
      </c>
      <c r="L78" s="5" t="s">
        <v>920</v>
      </c>
      <c r="M78" s="5"/>
    </row>
    <row r="79" spans="1:13" ht="15">
      <c r="A79" s="5" t="str">
        <f t="shared" si="1"/>
        <v>완료</v>
      </c>
      <c r="B79" s="5" t="s">
        <v>250</v>
      </c>
      <c r="C79" s="5" t="s">
        <v>250</v>
      </c>
      <c r="D79" s="5" t="s">
        <v>251</v>
      </c>
      <c r="E79" s="5" t="s">
        <v>252</v>
      </c>
      <c r="F79" s="8">
        <f>IFERROR(AVERAGEIF(Station_Visual_Nodes!$D:$D,B79,Station_Visual_Nodes!$I:$I),"")</f>
        <v>2480</v>
      </c>
      <c r="G79" s="8">
        <f>IFERROR(AVERAGEIF(Station_Visual_Nodes!$D:$D,B79,Station_Visual_Nodes!$J:$J),"")</f>
        <v>1964</v>
      </c>
      <c r="H79" s="11">
        <f>IF(F79="","",F79/Config!$B$2*100)</f>
        <v>48.4375</v>
      </c>
      <c r="I79" s="11">
        <f>IF(G79="","",G79/Config!$B$3*100)</f>
        <v>68.194444444444443</v>
      </c>
      <c r="J79" s="5">
        <v>42</v>
      </c>
      <c r="K79" s="5" t="s">
        <v>919</v>
      </c>
      <c r="L79" s="5" t="s">
        <v>920</v>
      </c>
      <c r="M79" s="5"/>
    </row>
    <row r="80" spans="1:13" ht="15">
      <c r="A80" s="5" t="str">
        <f t="shared" si="1"/>
        <v>완료</v>
      </c>
      <c r="B80" s="5" t="s">
        <v>254</v>
      </c>
      <c r="C80" s="5" t="s">
        <v>254</v>
      </c>
      <c r="D80" s="5" t="s">
        <v>255</v>
      </c>
      <c r="E80" s="5" t="s">
        <v>209</v>
      </c>
      <c r="F80" s="8">
        <f>IFERROR(AVERAGEIF(Station_Visual_Nodes!$D:$D,B80,Station_Visual_Nodes!$I:$I),"")</f>
        <v>2480</v>
      </c>
      <c r="G80" s="8">
        <f>IFERROR(AVERAGEIF(Station_Visual_Nodes!$D:$D,B80,Station_Visual_Nodes!$J:$J),"")</f>
        <v>2252</v>
      </c>
      <c r="H80" s="11">
        <f>IF(F80="","",F80/Config!$B$2*100)</f>
        <v>48.4375</v>
      </c>
      <c r="I80" s="11">
        <f>IF(G80="","",G80/Config!$B$3*100)</f>
        <v>78.194444444444443</v>
      </c>
      <c r="J80" s="5">
        <v>24</v>
      </c>
      <c r="K80" s="5" t="s">
        <v>919</v>
      </c>
      <c r="L80" s="5" t="s">
        <v>920</v>
      </c>
      <c r="M80" s="5"/>
    </row>
    <row r="81" spans="1:13" ht="15">
      <c r="A81" s="5" t="str">
        <f t="shared" si="1"/>
        <v>완료</v>
      </c>
      <c r="B81" s="5" t="s">
        <v>256</v>
      </c>
      <c r="C81" s="5" t="s">
        <v>256</v>
      </c>
      <c r="D81" s="5" t="s">
        <v>257</v>
      </c>
      <c r="E81" s="5" t="s">
        <v>209</v>
      </c>
      <c r="F81" s="8">
        <f>IFERROR(AVERAGEIF(Station_Visual_Nodes!$D:$D,B81,Station_Visual_Nodes!$I:$I),"")</f>
        <v>2616</v>
      </c>
      <c r="G81" s="8">
        <f>IFERROR(AVERAGEIF(Station_Visual_Nodes!$D:$D,B81,Station_Visual_Nodes!$J:$J),"")</f>
        <v>2252</v>
      </c>
      <c r="H81" s="11">
        <f>IF(F81="","",F81/Config!$B$2*100)</f>
        <v>51.093750000000007</v>
      </c>
      <c r="I81" s="11">
        <f>IF(G81="","",G81/Config!$B$3*100)</f>
        <v>78.194444444444443</v>
      </c>
      <c r="J81" s="5">
        <v>24</v>
      </c>
      <c r="K81" s="5" t="s">
        <v>919</v>
      </c>
      <c r="L81" s="5" t="s">
        <v>920</v>
      </c>
      <c r="M81" s="5"/>
    </row>
    <row r="82" spans="1:13" ht="15">
      <c r="A82" s="5" t="str">
        <f t="shared" si="1"/>
        <v>완료</v>
      </c>
      <c r="B82" s="5" t="s">
        <v>258</v>
      </c>
      <c r="C82" s="5" t="s">
        <v>258</v>
      </c>
      <c r="D82" s="5" t="s">
        <v>259</v>
      </c>
      <c r="E82" s="5" t="s">
        <v>209</v>
      </c>
      <c r="F82" s="8">
        <f>IFERROR(AVERAGEIF(Station_Visual_Nodes!$D:$D,B82,Station_Visual_Nodes!$I:$I),"")</f>
        <v>2696</v>
      </c>
      <c r="G82" s="8">
        <f>IFERROR(AVERAGEIF(Station_Visual_Nodes!$D:$D,B82,Station_Visual_Nodes!$J:$J),"")</f>
        <v>2252</v>
      </c>
      <c r="H82" s="11">
        <f>IF(F82="","",F82/Config!$B$2*100)</f>
        <v>52.656250000000007</v>
      </c>
      <c r="I82" s="11">
        <f>IF(G82="","",G82/Config!$B$3*100)</f>
        <v>78.194444444444443</v>
      </c>
      <c r="J82" s="5">
        <v>24</v>
      </c>
      <c r="K82" s="5" t="s">
        <v>919</v>
      </c>
      <c r="L82" s="5" t="s">
        <v>920</v>
      </c>
      <c r="M82" s="5"/>
    </row>
    <row r="83" spans="1:13" ht="15">
      <c r="A83" s="5" t="str">
        <f t="shared" si="1"/>
        <v>완료</v>
      </c>
      <c r="B83" s="5" t="s">
        <v>260</v>
      </c>
      <c r="C83" s="5" t="s">
        <v>260</v>
      </c>
      <c r="D83" s="5" t="s">
        <v>261</v>
      </c>
      <c r="E83" s="5" t="s">
        <v>209</v>
      </c>
      <c r="F83" s="8">
        <f>IFERROR(AVERAGEIF(Station_Visual_Nodes!$D:$D,B83,Station_Visual_Nodes!$I:$I),"")</f>
        <v>2776</v>
      </c>
      <c r="G83" s="8">
        <f>IFERROR(AVERAGEIF(Station_Visual_Nodes!$D:$D,B83,Station_Visual_Nodes!$J:$J),"")</f>
        <v>2252</v>
      </c>
      <c r="H83" s="11">
        <f>IF(F83="","",F83/Config!$B$2*100)</f>
        <v>54.218750000000007</v>
      </c>
      <c r="I83" s="11">
        <f>IF(G83="","",G83/Config!$B$3*100)</f>
        <v>78.194444444444443</v>
      </c>
      <c r="J83" s="5">
        <v>24</v>
      </c>
      <c r="K83" s="5" t="s">
        <v>919</v>
      </c>
      <c r="L83" s="5" t="s">
        <v>920</v>
      </c>
      <c r="M83" s="5"/>
    </row>
    <row r="84" spans="1:13" ht="15">
      <c r="A84" s="5" t="str">
        <f t="shared" si="1"/>
        <v>완료</v>
      </c>
      <c r="B84" s="5" t="s">
        <v>262</v>
      </c>
      <c r="C84" s="5" t="s">
        <v>262</v>
      </c>
      <c r="D84" s="5" t="s">
        <v>263</v>
      </c>
      <c r="E84" s="5" t="s">
        <v>209</v>
      </c>
      <c r="F84" s="8">
        <f>IFERROR(AVERAGEIF(Station_Visual_Nodes!$D:$D,B84,Station_Visual_Nodes!$I:$I),"")</f>
        <v>2860</v>
      </c>
      <c r="G84" s="8">
        <f>IFERROR(AVERAGEIF(Station_Visual_Nodes!$D:$D,B84,Station_Visual_Nodes!$J:$J),"")</f>
        <v>2252</v>
      </c>
      <c r="H84" s="11">
        <f>IF(F84="","",F84/Config!$B$2*100)</f>
        <v>55.859375</v>
      </c>
      <c r="I84" s="11">
        <f>IF(G84="","",G84/Config!$B$3*100)</f>
        <v>78.194444444444443</v>
      </c>
      <c r="J84" s="5">
        <v>24</v>
      </c>
      <c r="K84" s="5" t="s">
        <v>919</v>
      </c>
      <c r="L84" s="5" t="s">
        <v>920</v>
      </c>
      <c r="M84" s="5"/>
    </row>
    <row r="85" spans="1:13" ht="15">
      <c r="A85" s="5" t="str">
        <f t="shared" si="1"/>
        <v>완료</v>
      </c>
      <c r="B85" s="5" t="s">
        <v>264</v>
      </c>
      <c r="C85" s="5" t="s">
        <v>264</v>
      </c>
      <c r="D85" s="5" t="s">
        <v>265</v>
      </c>
      <c r="E85" s="5" t="s">
        <v>209</v>
      </c>
      <c r="F85" s="8">
        <f>IFERROR(AVERAGEIF(Station_Visual_Nodes!$D:$D,B85,Station_Visual_Nodes!$I:$I),"")</f>
        <v>2944</v>
      </c>
      <c r="G85" s="8">
        <f>IFERROR(AVERAGEIF(Station_Visual_Nodes!$D:$D,B85,Station_Visual_Nodes!$J:$J),"")</f>
        <v>2252</v>
      </c>
      <c r="H85" s="11">
        <f>IF(F85="","",F85/Config!$B$2*100)</f>
        <v>57.499999999999993</v>
      </c>
      <c r="I85" s="11">
        <f>IF(G85="","",G85/Config!$B$3*100)</f>
        <v>78.194444444444443</v>
      </c>
      <c r="J85" s="5">
        <v>24</v>
      </c>
      <c r="K85" s="5" t="s">
        <v>919</v>
      </c>
      <c r="L85" s="5" t="s">
        <v>920</v>
      </c>
      <c r="M85" s="5"/>
    </row>
    <row r="86" spans="1:13" ht="15">
      <c r="A86" s="5" t="str">
        <f t="shared" si="1"/>
        <v>완료</v>
      </c>
      <c r="B86" s="5" t="s">
        <v>266</v>
      </c>
      <c r="C86" s="5" t="s">
        <v>266</v>
      </c>
      <c r="D86" s="5" t="s">
        <v>267</v>
      </c>
      <c r="E86" s="5" t="s">
        <v>209</v>
      </c>
      <c r="F86" s="8">
        <f>IFERROR(AVERAGEIF(Station_Visual_Nodes!$D:$D,B86,Station_Visual_Nodes!$I:$I),"")</f>
        <v>3028</v>
      </c>
      <c r="G86" s="8">
        <f>IFERROR(AVERAGEIF(Station_Visual_Nodes!$D:$D,B86,Station_Visual_Nodes!$J:$J),"")</f>
        <v>2252</v>
      </c>
      <c r="H86" s="11">
        <f>IF(F86="","",F86/Config!$B$2*100)</f>
        <v>59.140625</v>
      </c>
      <c r="I86" s="11">
        <f>IF(G86="","",G86/Config!$B$3*100)</f>
        <v>78.194444444444443</v>
      </c>
      <c r="J86" s="5">
        <v>24</v>
      </c>
      <c r="K86" s="5" t="s">
        <v>919</v>
      </c>
      <c r="L86" s="5" t="s">
        <v>920</v>
      </c>
      <c r="M86" s="5"/>
    </row>
    <row r="87" spans="1:13" ht="15">
      <c r="A87" s="5" t="str">
        <f t="shared" si="1"/>
        <v>완료</v>
      </c>
      <c r="B87" s="5" t="s">
        <v>268</v>
      </c>
      <c r="C87" s="5" t="s">
        <v>268</v>
      </c>
      <c r="D87" s="5" t="s">
        <v>269</v>
      </c>
      <c r="E87" s="5" t="s">
        <v>209</v>
      </c>
      <c r="F87" s="8">
        <f>IFERROR(AVERAGEIF(Station_Visual_Nodes!$D:$D,B87,Station_Visual_Nodes!$I:$I),"")</f>
        <v>3112</v>
      </c>
      <c r="G87" s="8">
        <f>IFERROR(AVERAGEIF(Station_Visual_Nodes!$D:$D,B87,Station_Visual_Nodes!$J:$J),"")</f>
        <v>2252</v>
      </c>
      <c r="H87" s="11">
        <f>IF(F87="","",F87/Config!$B$2*100)</f>
        <v>60.78125</v>
      </c>
      <c r="I87" s="11">
        <f>IF(G87="","",G87/Config!$B$3*100)</f>
        <v>78.194444444444443</v>
      </c>
      <c r="J87" s="5">
        <v>24</v>
      </c>
      <c r="K87" s="5" t="s">
        <v>919</v>
      </c>
      <c r="L87" s="5" t="s">
        <v>920</v>
      </c>
      <c r="M87" s="5"/>
    </row>
    <row r="88" spans="1:13" ht="15">
      <c r="A88" s="5" t="str">
        <f t="shared" si="1"/>
        <v>완료</v>
      </c>
      <c r="B88" s="5" t="s">
        <v>270</v>
      </c>
      <c r="C88" s="5" t="s">
        <v>270</v>
      </c>
      <c r="D88" s="5" t="s">
        <v>271</v>
      </c>
      <c r="E88" s="5" t="s">
        <v>209</v>
      </c>
      <c r="F88" s="8">
        <f>IFERROR(AVERAGEIF(Station_Visual_Nodes!$D:$D,B88,Station_Visual_Nodes!$I:$I),"")</f>
        <v>3232</v>
      </c>
      <c r="G88" s="8">
        <f>IFERROR(AVERAGEIF(Station_Visual_Nodes!$D:$D,B88,Station_Visual_Nodes!$J:$J),"")</f>
        <v>2328</v>
      </c>
      <c r="H88" s="11">
        <f>IF(F88="","",F88/Config!$B$2*100)</f>
        <v>63.125</v>
      </c>
      <c r="I88" s="11">
        <f>IF(G88="","",G88/Config!$B$3*100)</f>
        <v>80.833333333333329</v>
      </c>
      <c r="J88" s="5">
        <v>24</v>
      </c>
      <c r="K88" s="5" t="s">
        <v>919</v>
      </c>
      <c r="L88" s="5" t="s">
        <v>920</v>
      </c>
      <c r="M88" s="5"/>
    </row>
    <row r="89" spans="1:13" ht="15">
      <c r="A89" s="5" t="str">
        <f t="shared" si="1"/>
        <v>완료</v>
      </c>
      <c r="B89" s="5" t="s">
        <v>272</v>
      </c>
      <c r="C89" s="5" t="s">
        <v>272</v>
      </c>
      <c r="D89" s="5" t="s">
        <v>273</v>
      </c>
      <c r="E89" s="5" t="s">
        <v>274</v>
      </c>
      <c r="F89" s="8">
        <f>IFERROR(AVERAGEIF(Station_Visual_Nodes!$D:$D,B89,Station_Visual_Nodes!$I:$I),"")</f>
        <v>3300</v>
      </c>
      <c r="G89" s="8">
        <f>IFERROR(AVERAGEIF(Station_Visual_Nodes!$D:$D,B89,Station_Visual_Nodes!$J:$J),"")</f>
        <v>2140</v>
      </c>
      <c r="H89" s="11">
        <f>IF(F89="","",F89/Config!$B$2*100)</f>
        <v>64.453125</v>
      </c>
      <c r="I89" s="11">
        <f>IF(G89="","",G89/Config!$B$3*100)</f>
        <v>74.305555555555557</v>
      </c>
      <c r="J89" s="5">
        <v>42</v>
      </c>
      <c r="K89" s="5" t="s">
        <v>919</v>
      </c>
      <c r="L89" s="5" t="s">
        <v>920</v>
      </c>
      <c r="M89" s="5"/>
    </row>
    <row r="90" spans="1:13" ht="15">
      <c r="A90" s="5" t="str">
        <f t="shared" si="1"/>
        <v>완료</v>
      </c>
      <c r="B90" s="5" t="s">
        <v>276</v>
      </c>
      <c r="C90" s="5" t="s">
        <v>276</v>
      </c>
      <c r="D90" s="5" t="s">
        <v>277</v>
      </c>
      <c r="E90" s="5" t="s">
        <v>209</v>
      </c>
      <c r="F90" s="8">
        <f>IFERROR(AVERAGEIF(Station_Visual_Nodes!$D:$D,B90,Station_Visual_Nodes!$I:$I),"")</f>
        <v>3354</v>
      </c>
      <c r="G90" s="8">
        <f>IFERROR(AVERAGEIF(Station_Visual_Nodes!$D:$D,B90,Station_Visual_Nodes!$J:$J),"")</f>
        <v>1992</v>
      </c>
      <c r="H90" s="11">
        <f>IF(F90="","",F90/Config!$B$2*100)</f>
        <v>65.5078125</v>
      </c>
      <c r="I90" s="11">
        <f>IF(G90="","",G90/Config!$B$3*100)</f>
        <v>69.166666666666671</v>
      </c>
      <c r="J90" s="5">
        <v>24</v>
      </c>
      <c r="K90" s="5" t="s">
        <v>919</v>
      </c>
      <c r="L90" s="5" t="s">
        <v>920</v>
      </c>
      <c r="M90" s="5"/>
    </row>
    <row r="91" spans="1:13" ht="15">
      <c r="A91" s="5" t="str">
        <f t="shared" si="1"/>
        <v>완료</v>
      </c>
      <c r="B91" s="5" t="s">
        <v>278</v>
      </c>
      <c r="C91" s="5" t="s">
        <v>278</v>
      </c>
      <c r="D91" s="5" t="s">
        <v>279</v>
      </c>
      <c r="E91" s="5" t="s">
        <v>280</v>
      </c>
      <c r="F91" s="8">
        <f>IFERROR(AVERAGEIF(Station_Visual_Nodes!$D:$D,B91,Station_Visual_Nodes!$I:$I),"")</f>
        <v>3696</v>
      </c>
      <c r="G91" s="8">
        <f>IFERROR(AVERAGEIF(Station_Visual_Nodes!$D:$D,B91,Station_Visual_Nodes!$J:$J),"")</f>
        <v>1992</v>
      </c>
      <c r="H91" s="11">
        <f>IF(F91="","",F91/Config!$B$2*100)</f>
        <v>72.1875</v>
      </c>
      <c r="I91" s="11">
        <f>IF(G91="","",G91/Config!$B$3*100)</f>
        <v>69.166666666666671</v>
      </c>
      <c r="J91" s="5">
        <v>42</v>
      </c>
      <c r="K91" s="5" t="s">
        <v>919</v>
      </c>
      <c r="L91" s="5" t="s">
        <v>920</v>
      </c>
      <c r="M91" s="5"/>
    </row>
    <row r="92" spans="1:13" ht="15">
      <c r="A92" s="5" t="str">
        <f t="shared" si="1"/>
        <v>완료</v>
      </c>
      <c r="B92" s="5" t="s">
        <v>282</v>
      </c>
      <c r="C92" s="5" t="s">
        <v>282</v>
      </c>
      <c r="D92" s="5" t="s">
        <v>283</v>
      </c>
      <c r="E92" s="5" t="s">
        <v>284</v>
      </c>
      <c r="F92" s="8">
        <f>IFERROR(AVERAGEIF(Station_Visual_Nodes!$D:$D,B92,Station_Visual_Nodes!$I:$I),"")</f>
        <v>3744</v>
      </c>
      <c r="G92" s="8">
        <f>IFERROR(AVERAGEIF(Station_Visual_Nodes!$D:$D,B92,Station_Visual_Nodes!$J:$J),"")</f>
        <v>356</v>
      </c>
      <c r="H92" s="11">
        <f>IF(F92="","",F92/Config!$B$2*100)</f>
        <v>73.125</v>
      </c>
      <c r="I92" s="11">
        <f>IF(G92="","",G92/Config!$B$3*100)</f>
        <v>12.361111111111111</v>
      </c>
      <c r="J92" s="5">
        <v>24</v>
      </c>
      <c r="K92" s="5" t="s">
        <v>919</v>
      </c>
      <c r="L92" s="5" t="s">
        <v>920</v>
      </c>
      <c r="M92" s="5"/>
    </row>
    <row r="93" spans="1:13" ht="15">
      <c r="A93" s="5" t="str">
        <f t="shared" si="1"/>
        <v>완료</v>
      </c>
      <c r="B93" s="5" t="s">
        <v>287</v>
      </c>
      <c r="C93" s="5" t="s">
        <v>287</v>
      </c>
      <c r="D93" s="5" t="s">
        <v>288</v>
      </c>
      <c r="E93" s="5" t="s">
        <v>284</v>
      </c>
      <c r="F93" s="8">
        <f>IFERROR(AVERAGEIF(Station_Visual_Nodes!$D:$D,B93,Station_Visual_Nodes!$I:$I),"")</f>
        <v>3604</v>
      </c>
      <c r="G93" s="8">
        <f>IFERROR(AVERAGEIF(Station_Visual_Nodes!$D:$D,B93,Station_Visual_Nodes!$J:$J),"")</f>
        <v>356</v>
      </c>
      <c r="H93" s="11">
        <f>IF(F93="","",F93/Config!$B$2*100)</f>
        <v>70.390625</v>
      </c>
      <c r="I93" s="11">
        <f>IF(G93="","",G93/Config!$B$3*100)</f>
        <v>12.361111111111111</v>
      </c>
      <c r="J93" s="5">
        <v>24</v>
      </c>
      <c r="K93" s="5" t="s">
        <v>919</v>
      </c>
      <c r="L93" s="5" t="s">
        <v>920</v>
      </c>
      <c r="M93" s="5"/>
    </row>
    <row r="94" spans="1:13" ht="15">
      <c r="A94" s="5" t="str">
        <f t="shared" si="1"/>
        <v>완료</v>
      </c>
      <c r="B94" s="5" t="s">
        <v>289</v>
      </c>
      <c r="C94" s="5" t="s">
        <v>289</v>
      </c>
      <c r="D94" s="5" t="s">
        <v>290</v>
      </c>
      <c r="E94" s="5" t="s">
        <v>291</v>
      </c>
      <c r="F94" s="8">
        <f>IFERROR(AVERAGEIF(Station_Visual_Nodes!$D:$D,B94,Station_Visual_Nodes!$I:$I),"")</f>
        <v>3464</v>
      </c>
      <c r="G94" s="8">
        <f>IFERROR(AVERAGEIF(Station_Visual_Nodes!$D:$D,B94,Station_Visual_Nodes!$J:$J),"")</f>
        <v>356</v>
      </c>
      <c r="H94" s="11">
        <f>IF(F94="","",F94/Config!$B$2*100)</f>
        <v>67.65625</v>
      </c>
      <c r="I94" s="11">
        <f>IF(G94="","",G94/Config!$B$3*100)</f>
        <v>12.361111111111111</v>
      </c>
      <c r="J94" s="5">
        <v>42</v>
      </c>
      <c r="K94" s="5" t="s">
        <v>919</v>
      </c>
      <c r="L94" s="5" t="s">
        <v>920</v>
      </c>
      <c r="M94" s="5"/>
    </row>
    <row r="95" spans="1:13" ht="15">
      <c r="A95" s="5" t="str">
        <f t="shared" si="1"/>
        <v>완료</v>
      </c>
      <c r="B95" s="5" t="s">
        <v>293</v>
      </c>
      <c r="C95" s="5" t="s">
        <v>293</v>
      </c>
      <c r="D95" s="5" t="s">
        <v>294</v>
      </c>
      <c r="E95" s="5" t="s">
        <v>284</v>
      </c>
      <c r="F95" s="8">
        <f>IFERROR(AVERAGEIF(Station_Visual_Nodes!$D:$D,B95,Station_Visual_Nodes!$I:$I),"")</f>
        <v>3324</v>
      </c>
      <c r="G95" s="8">
        <f>IFERROR(AVERAGEIF(Station_Visual_Nodes!$D:$D,B95,Station_Visual_Nodes!$J:$J),"")</f>
        <v>458</v>
      </c>
      <c r="H95" s="11">
        <f>IF(F95="","",F95/Config!$B$2*100)</f>
        <v>64.921875</v>
      </c>
      <c r="I95" s="11">
        <f>IF(G95="","",G95/Config!$B$3*100)</f>
        <v>15.902777777777777</v>
      </c>
      <c r="J95" s="5">
        <v>24</v>
      </c>
      <c r="K95" s="5" t="s">
        <v>919</v>
      </c>
      <c r="L95" s="5" t="s">
        <v>920</v>
      </c>
      <c r="M95" s="5"/>
    </row>
    <row r="96" spans="1:13" ht="15">
      <c r="A96" s="5" t="str">
        <f t="shared" si="1"/>
        <v>완료</v>
      </c>
      <c r="B96" s="5" t="s">
        <v>295</v>
      </c>
      <c r="C96" s="5" t="s">
        <v>295</v>
      </c>
      <c r="D96" s="5" t="s">
        <v>296</v>
      </c>
      <c r="E96" s="5" t="s">
        <v>284</v>
      </c>
      <c r="F96" s="8">
        <f>IFERROR(AVERAGEIF(Station_Visual_Nodes!$D:$D,B96,Station_Visual_Nodes!$I:$I),"")</f>
        <v>3194</v>
      </c>
      <c r="G96" s="8">
        <f>IFERROR(AVERAGEIF(Station_Visual_Nodes!$D:$D,B96,Station_Visual_Nodes!$J:$J),"")</f>
        <v>554</v>
      </c>
      <c r="H96" s="11">
        <f>IF(F96="","",F96/Config!$B$2*100)</f>
        <v>62.382812499999993</v>
      </c>
      <c r="I96" s="11">
        <f>IF(G96="","",G96/Config!$B$3*100)</f>
        <v>19.236111111111111</v>
      </c>
      <c r="J96" s="5">
        <v>24</v>
      </c>
      <c r="K96" s="5" t="s">
        <v>919</v>
      </c>
      <c r="L96" s="5" t="s">
        <v>920</v>
      </c>
      <c r="M96" s="5"/>
    </row>
    <row r="97" spans="1:13" ht="15">
      <c r="A97" s="5" t="str">
        <f t="shared" si="1"/>
        <v>완료</v>
      </c>
      <c r="B97" s="5" t="s">
        <v>297</v>
      </c>
      <c r="C97" s="5" t="s">
        <v>297</v>
      </c>
      <c r="D97" s="5" t="s">
        <v>298</v>
      </c>
      <c r="E97" s="5" t="s">
        <v>284</v>
      </c>
      <c r="F97" s="8">
        <f>IFERROR(AVERAGEIF(Station_Visual_Nodes!$D:$D,B97,Station_Visual_Nodes!$I:$I),"")</f>
        <v>3064</v>
      </c>
      <c r="G97" s="8">
        <f>IFERROR(AVERAGEIF(Station_Visual_Nodes!$D:$D,B97,Station_Visual_Nodes!$J:$J),"")</f>
        <v>648</v>
      </c>
      <c r="H97" s="11">
        <f>IF(F97="","",F97/Config!$B$2*100)</f>
        <v>59.843749999999993</v>
      </c>
      <c r="I97" s="11">
        <f>IF(G97="","",G97/Config!$B$3*100)</f>
        <v>22.5</v>
      </c>
      <c r="J97" s="5">
        <v>24</v>
      </c>
      <c r="K97" s="5" t="s">
        <v>919</v>
      </c>
      <c r="L97" s="5" t="s">
        <v>920</v>
      </c>
      <c r="M97" s="5"/>
    </row>
    <row r="98" spans="1:13" ht="15">
      <c r="A98" s="5" t="str">
        <f t="shared" si="1"/>
        <v>완료</v>
      </c>
      <c r="B98" s="5" t="s">
        <v>299</v>
      </c>
      <c r="C98" s="5" t="s">
        <v>299</v>
      </c>
      <c r="D98" s="5" t="s">
        <v>300</v>
      </c>
      <c r="E98" s="5" t="s">
        <v>284</v>
      </c>
      <c r="F98" s="8">
        <f>IFERROR(AVERAGEIF(Station_Visual_Nodes!$D:$D,B98,Station_Visual_Nodes!$I:$I),"")</f>
        <v>2908</v>
      </c>
      <c r="G98" s="8">
        <f>IFERROR(AVERAGEIF(Station_Visual_Nodes!$D:$D,B98,Station_Visual_Nodes!$J:$J),"")</f>
        <v>648</v>
      </c>
      <c r="H98" s="11">
        <f>IF(F98="","",F98/Config!$B$2*100)</f>
        <v>56.796875</v>
      </c>
      <c r="I98" s="11">
        <f>IF(G98="","",G98/Config!$B$3*100)</f>
        <v>22.5</v>
      </c>
      <c r="J98" s="5">
        <v>24</v>
      </c>
      <c r="K98" s="5" t="s">
        <v>919</v>
      </c>
      <c r="L98" s="5" t="s">
        <v>920</v>
      </c>
      <c r="M98" s="5"/>
    </row>
    <row r="99" spans="1:13" ht="15">
      <c r="A99" s="5" t="str">
        <f t="shared" si="1"/>
        <v>완료</v>
      </c>
      <c r="B99" s="5" t="s">
        <v>301</v>
      </c>
      <c r="C99" s="5" t="s">
        <v>301</v>
      </c>
      <c r="D99" s="5" t="s">
        <v>302</v>
      </c>
      <c r="E99" s="5" t="s">
        <v>284</v>
      </c>
      <c r="F99" s="8">
        <f>IFERROR(AVERAGEIF(Station_Visual_Nodes!$D:$D,B99,Station_Visual_Nodes!$I:$I),"")</f>
        <v>2752</v>
      </c>
      <c r="G99" s="8">
        <f>IFERROR(AVERAGEIF(Station_Visual_Nodes!$D:$D,B99,Station_Visual_Nodes!$J:$J),"")</f>
        <v>648</v>
      </c>
      <c r="H99" s="11">
        <f>IF(F99="","",F99/Config!$B$2*100)</f>
        <v>53.75</v>
      </c>
      <c r="I99" s="11">
        <f>IF(G99="","",G99/Config!$B$3*100)</f>
        <v>22.5</v>
      </c>
      <c r="J99" s="5">
        <v>24</v>
      </c>
      <c r="K99" s="5" t="s">
        <v>919</v>
      </c>
      <c r="L99" s="5" t="s">
        <v>920</v>
      </c>
      <c r="M99" s="5"/>
    </row>
    <row r="100" spans="1:13" ht="15">
      <c r="A100" s="5" t="str">
        <f t="shared" si="1"/>
        <v>완료</v>
      </c>
      <c r="B100" s="5" t="s">
        <v>303</v>
      </c>
      <c r="C100" s="5" t="s">
        <v>303</v>
      </c>
      <c r="D100" s="5" t="s">
        <v>304</v>
      </c>
      <c r="E100" s="5" t="s">
        <v>284</v>
      </c>
      <c r="F100" s="8">
        <f>IFERROR(AVERAGEIF(Station_Visual_Nodes!$D:$D,B100,Station_Visual_Nodes!$I:$I),"")</f>
        <v>2596</v>
      </c>
      <c r="G100" s="8">
        <f>IFERROR(AVERAGEIF(Station_Visual_Nodes!$D:$D,B100,Station_Visual_Nodes!$J:$J),"")</f>
        <v>648</v>
      </c>
      <c r="H100" s="11">
        <f>IF(F100="","",F100/Config!$B$2*100)</f>
        <v>50.703125000000007</v>
      </c>
      <c r="I100" s="11">
        <f>IF(G100="","",G100/Config!$B$3*100)</f>
        <v>22.5</v>
      </c>
      <c r="J100" s="5">
        <v>24</v>
      </c>
      <c r="K100" s="5" t="s">
        <v>919</v>
      </c>
      <c r="L100" s="5" t="s">
        <v>920</v>
      </c>
      <c r="M100" s="5"/>
    </row>
    <row r="101" spans="1:13" ht="15">
      <c r="A101" s="5" t="str">
        <f t="shared" si="1"/>
        <v>완료</v>
      </c>
      <c r="B101" s="5" t="s">
        <v>305</v>
      </c>
      <c r="C101" s="5" t="s">
        <v>305</v>
      </c>
      <c r="D101" s="5" t="s">
        <v>306</v>
      </c>
      <c r="E101" s="5" t="s">
        <v>284</v>
      </c>
      <c r="F101" s="8">
        <f>IFERROR(AVERAGEIF(Station_Visual_Nodes!$D:$D,B101,Station_Visual_Nodes!$I:$I),"")</f>
        <v>2440</v>
      </c>
      <c r="G101" s="8">
        <f>IFERROR(AVERAGEIF(Station_Visual_Nodes!$D:$D,B101,Station_Visual_Nodes!$J:$J),"")</f>
        <v>648</v>
      </c>
      <c r="H101" s="11">
        <f>IF(F101="","",F101/Config!$B$2*100)</f>
        <v>47.65625</v>
      </c>
      <c r="I101" s="11">
        <f>IF(G101="","",G101/Config!$B$3*100)</f>
        <v>22.5</v>
      </c>
      <c r="J101" s="5">
        <v>24</v>
      </c>
      <c r="K101" s="5" t="s">
        <v>919</v>
      </c>
      <c r="L101" s="5" t="s">
        <v>920</v>
      </c>
      <c r="M101" s="5"/>
    </row>
    <row r="102" spans="1:13" ht="15">
      <c r="A102" s="5" t="str">
        <f t="shared" si="1"/>
        <v>완료</v>
      </c>
      <c r="B102" s="5" t="s">
        <v>307</v>
      </c>
      <c r="C102" s="5" t="s">
        <v>307</v>
      </c>
      <c r="D102" s="5" t="s">
        <v>308</v>
      </c>
      <c r="E102" s="5" t="s">
        <v>284</v>
      </c>
      <c r="F102" s="8">
        <f>IFERROR(AVERAGEIF(Station_Visual_Nodes!$D:$D,B102,Station_Visual_Nodes!$I:$I),"")</f>
        <v>2328</v>
      </c>
      <c r="G102" s="8">
        <f>IFERROR(AVERAGEIF(Station_Visual_Nodes!$D:$D,B102,Station_Visual_Nodes!$J:$J),"")</f>
        <v>772</v>
      </c>
      <c r="H102" s="11">
        <f>IF(F102="","",F102/Config!$B$2*100)</f>
        <v>45.46875</v>
      </c>
      <c r="I102" s="11">
        <f>IF(G102="","",G102/Config!$B$3*100)</f>
        <v>26.805555555555554</v>
      </c>
      <c r="J102" s="5">
        <v>24</v>
      </c>
      <c r="K102" s="5" t="s">
        <v>919</v>
      </c>
      <c r="L102" s="5" t="s">
        <v>920</v>
      </c>
      <c r="M102" s="5"/>
    </row>
    <row r="103" spans="1:13" ht="15">
      <c r="A103" s="5" t="str">
        <f t="shared" si="1"/>
        <v>완료</v>
      </c>
      <c r="B103" s="5" t="s">
        <v>309</v>
      </c>
      <c r="C103" s="5" t="s">
        <v>309</v>
      </c>
      <c r="D103" s="5" t="s">
        <v>310</v>
      </c>
      <c r="E103" s="5" t="s">
        <v>284</v>
      </c>
      <c r="F103" s="8">
        <f>IFERROR(AVERAGEIF(Station_Visual_Nodes!$D:$D,B103,Station_Visual_Nodes!$I:$I),"")</f>
        <v>2328</v>
      </c>
      <c r="G103" s="8">
        <f>IFERROR(AVERAGEIF(Station_Visual_Nodes!$D:$D,B103,Station_Visual_Nodes!$J:$J),"")</f>
        <v>876</v>
      </c>
      <c r="H103" s="11">
        <f>IF(F103="","",F103/Config!$B$2*100)</f>
        <v>45.46875</v>
      </c>
      <c r="I103" s="11">
        <f>IF(G103="","",G103/Config!$B$3*100)</f>
        <v>30.416666666666664</v>
      </c>
      <c r="J103" s="5">
        <v>24</v>
      </c>
      <c r="K103" s="5" t="s">
        <v>919</v>
      </c>
      <c r="L103" s="5" t="s">
        <v>920</v>
      </c>
      <c r="M103" s="5"/>
    </row>
    <row r="104" spans="1:13" ht="15">
      <c r="A104" s="5" t="str">
        <f t="shared" si="1"/>
        <v>완료</v>
      </c>
      <c r="B104" s="5" t="s">
        <v>311</v>
      </c>
      <c r="C104" s="5" t="s">
        <v>311</v>
      </c>
      <c r="D104" s="5" t="s">
        <v>312</v>
      </c>
      <c r="E104" s="5" t="s">
        <v>284</v>
      </c>
      <c r="F104" s="8">
        <f>IFERROR(AVERAGEIF(Station_Visual_Nodes!$D:$D,B104,Station_Visual_Nodes!$I:$I),"")</f>
        <v>2192</v>
      </c>
      <c r="G104" s="8">
        <f>IFERROR(AVERAGEIF(Station_Visual_Nodes!$D:$D,B104,Station_Visual_Nodes!$J:$J),"")</f>
        <v>1308</v>
      </c>
      <c r="H104" s="11">
        <f>IF(F104="","",F104/Config!$B$2*100)</f>
        <v>42.8125</v>
      </c>
      <c r="I104" s="11">
        <f>IF(G104="","",G104/Config!$B$3*100)</f>
        <v>45.416666666666664</v>
      </c>
      <c r="J104" s="5">
        <v>24</v>
      </c>
      <c r="K104" s="5" t="s">
        <v>919</v>
      </c>
      <c r="L104" s="5" t="s">
        <v>920</v>
      </c>
      <c r="M104" s="5"/>
    </row>
    <row r="105" spans="1:13" ht="15">
      <c r="A105" s="5" t="str">
        <f t="shared" si="1"/>
        <v>완료</v>
      </c>
      <c r="B105" s="5" t="s">
        <v>313</v>
      </c>
      <c r="C105" s="5" t="s">
        <v>313</v>
      </c>
      <c r="D105" s="5" t="s">
        <v>314</v>
      </c>
      <c r="E105" s="5" t="s">
        <v>284</v>
      </c>
      <c r="F105" s="8">
        <f>IFERROR(AVERAGEIF(Station_Visual_Nodes!$D:$D,B105,Station_Visual_Nodes!$I:$I),"")</f>
        <v>2076</v>
      </c>
      <c r="G105" s="8">
        <f>IFERROR(AVERAGEIF(Station_Visual_Nodes!$D:$D,B105,Station_Visual_Nodes!$J:$J),"")</f>
        <v>1308</v>
      </c>
      <c r="H105" s="11">
        <f>IF(F105="","",F105/Config!$B$2*100)</f>
        <v>40.546875</v>
      </c>
      <c r="I105" s="11">
        <f>IF(G105="","",G105/Config!$B$3*100)</f>
        <v>45.416666666666664</v>
      </c>
      <c r="J105" s="5">
        <v>24</v>
      </c>
      <c r="K105" s="5" t="s">
        <v>919</v>
      </c>
      <c r="L105" s="5" t="s">
        <v>920</v>
      </c>
      <c r="M105" s="5"/>
    </row>
    <row r="106" spans="1:13" ht="15">
      <c r="A106" s="5" t="str">
        <f t="shared" si="1"/>
        <v>완료</v>
      </c>
      <c r="B106" s="5" t="s">
        <v>315</v>
      </c>
      <c r="C106" s="5" t="s">
        <v>315</v>
      </c>
      <c r="D106" s="5" t="s">
        <v>316</v>
      </c>
      <c r="E106" s="5" t="s">
        <v>284</v>
      </c>
      <c r="F106" s="8">
        <f>IFERROR(AVERAGEIF(Station_Visual_Nodes!$D:$D,B106,Station_Visual_Nodes!$I:$I),"")</f>
        <v>1940</v>
      </c>
      <c r="G106" s="8">
        <f>IFERROR(AVERAGEIF(Station_Visual_Nodes!$D:$D,B106,Station_Visual_Nodes!$J:$J),"")</f>
        <v>1392</v>
      </c>
      <c r="H106" s="11">
        <f>IF(F106="","",F106/Config!$B$2*100)</f>
        <v>37.890625</v>
      </c>
      <c r="I106" s="11">
        <f>IF(G106="","",G106/Config!$B$3*100)</f>
        <v>48.333333333333336</v>
      </c>
      <c r="J106" s="5">
        <v>24</v>
      </c>
      <c r="K106" s="5" t="s">
        <v>919</v>
      </c>
      <c r="L106" s="5" t="s">
        <v>920</v>
      </c>
      <c r="M106" s="5"/>
    </row>
    <row r="107" spans="1:13" ht="15">
      <c r="A107" s="5" t="str">
        <f t="shared" si="1"/>
        <v>완료</v>
      </c>
      <c r="B107" s="5" t="s">
        <v>318</v>
      </c>
      <c r="C107" s="5" t="s">
        <v>318</v>
      </c>
      <c r="D107" s="5" t="s">
        <v>319</v>
      </c>
      <c r="E107" s="5" t="s">
        <v>320</v>
      </c>
      <c r="F107" s="8">
        <f>IFERROR(AVERAGEIF(Station_Visual_Nodes!$D:$D,B107,Station_Visual_Nodes!$I:$I),"")</f>
        <v>1940</v>
      </c>
      <c r="G107" s="8">
        <f>IFERROR(AVERAGEIF(Station_Visual_Nodes!$D:$D,B107,Station_Visual_Nodes!$J:$J),"")</f>
        <v>1476</v>
      </c>
      <c r="H107" s="11">
        <f>IF(F107="","",F107/Config!$B$2*100)</f>
        <v>37.890625</v>
      </c>
      <c r="I107" s="11">
        <f>IF(G107="","",G107/Config!$B$3*100)</f>
        <v>51.249999999999993</v>
      </c>
      <c r="J107" s="5">
        <v>42</v>
      </c>
      <c r="K107" s="5" t="s">
        <v>919</v>
      </c>
      <c r="L107" s="5" t="s">
        <v>920</v>
      </c>
      <c r="M107" s="5"/>
    </row>
    <row r="108" spans="1:13" ht="15">
      <c r="A108" s="5" t="str">
        <f t="shared" si="1"/>
        <v>완료</v>
      </c>
      <c r="B108" s="5" t="s">
        <v>322</v>
      </c>
      <c r="C108" s="5" t="s">
        <v>322</v>
      </c>
      <c r="D108" s="5" t="s">
        <v>323</v>
      </c>
      <c r="E108" s="5" t="s">
        <v>284</v>
      </c>
      <c r="F108" s="8">
        <f>IFERROR(AVERAGEIF(Station_Visual_Nodes!$D:$D,B108,Station_Visual_Nodes!$I:$I),"")</f>
        <v>2008</v>
      </c>
      <c r="G108" s="8">
        <f>IFERROR(AVERAGEIF(Station_Visual_Nodes!$D:$D,B108,Station_Visual_Nodes!$J:$J),"")</f>
        <v>1560</v>
      </c>
      <c r="H108" s="11">
        <f>IF(F108="","",F108/Config!$B$2*100)</f>
        <v>39.21875</v>
      </c>
      <c r="I108" s="11">
        <f>IF(G108="","",G108/Config!$B$3*100)</f>
        <v>54.166666666666664</v>
      </c>
      <c r="J108" s="5">
        <v>24</v>
      </c>
      <c r="K108" s="5" t="s">
        <v>919</v>
      </c>
      <c r="L108" s="5" t="s">
        <v>920</v>
      </c>
      <c r="M108" s="5"/>
    </row>
    <row r="109" spans="1:13" ht="15">
      <c r="A109" s="5" t="str">
        <f t="shared" si="1"/>
        <v>완료</v>
      </c>
      <c r="B109" s="5" t="s">
        <v>324</v>
      </c>
      <c r="C109" s="5" t="s">
        <v>324</v>
      </c>
      <c r="D109" s="5" t="s">
        <v>325</v>
      </c>
      <c r="E109" s="5" t="s">
        <v>284</v>
      </c>
      <c r="F109" s="8">
        <f>IFERROR(AVERAGEIF(Station_Visual_Nodes!$D:$D,B109,Station_Visual_Nodes!$I:$I),"")</f>
        <v>2072</v>
      </c>
      <c r="G109" s="8">
        <f>IFERROR(AVERAGEIF(Station_Visual_Nodes!$D:$D,B109,Station_Visual_Nodes!$J:$J),"")</f>
        <v>1632</v>
      </c>
      <c r="H109" s="11">
        <f>IF(F109="","",F109/Config!$B$2*100)</f>
        <v>40.46875</v>
      </c>
      <c r="I109" s="11">
        <f>IF(G109="","",G109/Config!$B$3*100)</f>
        <v>56.666666666666664</v>
      </c>
      <c r="J109" s="5">
        <v>24</v>
      </c>
      <c r="K109" s="5" t="s">
        <v>919</v>
      </c>
      <c r="L109" s="5" t="s">
        <v>920</v>
      </c>
      <c r="M109" s="5"/>
    </row>
    <row r="110" spans="1:13" ht="15">
      <c r="A110" s="5" t="str">
        <f t="shared" si="1"/>
        <v>완료</v>
      </c>
      <c r="B110" s="5" t="s">
        <v>326</v>
      </c>
      <c r="C110" s="5" t="s">
        <v>326</v>
      </c>
      <c r="D110" s="5" t="s">
        <v>327</v>
      </c>
      <c r="E110" s="5" t="s">
        <v>284</v>
      </c>
      <c r="F110" s="8">
        <f>IFERROR(AVERAGEIF(Station_Visual_Nodes!$D:$D,B110,Station_Visual_Nodes!$I:$I),"")</f>
        <v>2200</v>
      </c>
      <c r="G110" s="8">
        <f>IFERROR(AVERAGEIF(Station_Visual_Nodes!$D:$D,B110,Station_Visual_Nodes!$J:$J),"")</f>
        <v>1788</v>
      </c>
      <c r="H110" s="11">
        <f>IF(F110="","",F110/Config!$B$2*100)</f>
        <v>42.96875</v>
      </c>
      <c r="I110" s="11">
        <f>IF(G110="","",G110/Config!$B$3*100)</f>
        <v>62.083333333333336</v>
      </c>
      <c r="J110" s="5">
        <v>24</v>
      </c>
      <c r="K110" s="5" t="s">
        <v>919</v>
      </c>
      <c r="L110" s="5" t="s">
        <v>920</v>
      </c>
      <c r="M110" s="5"/>
    </row>
    <row r="111" spans="1:13" ht="15">
      <c r="A111" s="5" t="str">
        <f t="shared" si="1"/>
        <v>완료</v>
      </c>
      <c r="B111" s="5" t="s">
        <v>328</v>
      </c>
      <c r="C111" s="5" t="s">
        <v>328</v>
      </c>
      <c r="D111" s="5" t="s">
        <v>329</v>
      </c>
      <c r="E111" s="5" t="s">
        <v>291</v>
      </c>
      <c r="F111" s="8">
        <f>IFERROR(AVERAGEIF(Station_Visual_Nodes!$D:$D,B111,Station_Visual_Nodes!$I:$I),"")</f>
        <v>2200</v>
      </c>
      <c r="G111" s="8">
        <f>IFERROR(AVERAGEIF(Station_Visual_Nodes!$D:$D,B111,Station_Visual_Nodes!$J:$J),"")</f>
        <v>1964</v>
      </c>
      <c r="H111" s="11">
        <f>IF(F111="","",F111/Config!$B$2*100)</f>
        <v>42.96875</v>
      </c>
      <c r="I111" s="11">
        <f>IF(G111="","",G111/Config!$B$3*100)</f>
        <v>68.194444444444443</v>
      </c>
      <c r="J111" s="5">
        <v>42</v>
      </c>
      <c r="K111" s="5" t="s">
        <v>919</v>
      </c>
      <c r="L111" s="5" t="s">
        <v>920</v>
      </c>
      <c r="M111" s="5"/>
    </row>
    <row r="112" spans="1:13" ht="15">
      <c r="A112" s="5" t="str">
        <f t="shared" si="1"/>
        <v>완료</v>
      </c>
      <c r="B112" s="5" t="s">
        <v>331</v>
      </c>
      <c r="C112" s="5" t="s">
        <v>331</v>
      </c>
      <c r="D112" s="5" t="s">
        <v>332</v>
      </c>
      <c r="E112" s="5" t="s">
        <v>284</v>
      </c>
      <c r="F112" s="8">
        <f>IFERROR(AVERAGEIF(Station_Visual_Nodes!$D:$D,B112,Station_Visual_Nodes!$I:$I),"")</f>
        <v>2200</v>
      </c>
      <c r="G112" s="8">
        <f>IFERROR(AVERAGEIF(Station_Visual_Nodes!$D:$D,B112,Station_Visual_Nodes!$J:$J),"")</f>
        <v>2252</v>
      </c>
      <c r="H112" s="11">
        <f>IF(F112="","",F112/Config!$B$2*100)</f>
        <v>42.96875</v>
      </c>
      <c r="I112" s="11">
        <f>IF(G112="","",G112/Config!$B$3*100)</f>
        <v>78.194444444444443</v>
      </c>
      <c r="J112" s="5">
        <v>24</v>
      </c>
      <c r="K112" s="5" t="s">
        <v>919</v>
      </c>
      <c r="L112" s="5" t="s">
        <v>920</v>
      </c>
      <c r="M112" s="5"/>
    </row>
    <row r="113" spans="1:13" ht="15">
      <c r="A113" s="5" t="str">
        <f t="shared" si="1"/>
        <v>완료</v>
      </c>
      <c r="B113" s="5" t="s">
        <v>333</v>
      </c>
      <c r="C113" s="5" t="s">
        <v>333</v>
      </c>
      <c r="D113" s="5" t="s">
        <v>334</v>
      </c>
      <c r="E113" s="5" t="s">
        <v>335</v>
      </c>
      <c r="F113" s="8">
        <f>IFERROR(AVERAGEIF(Station_Visual_Nodes!$D:$D,B113,Station_Visual_Nodes!$I:$I),"")</f>
        <v>788</v>
      </c>
      <c r="G113" s="8">
        <f>IFERROR(AVERAGEIF(Station_Visual_Nodes!$D:$D,B113,Station_Visual_Nodes!$J:$J),"")</f>
        <v>828</v>
      </c>
      <c r="H113" s="11">
        <f>IF(F113="","",F113/Config!$B$2*100)</f>
        <v>15.390625</v>
      </c>
      <c r="I113" s="11">
        <f>IF(G113="","",G113/Config!$B$3*100)</f>
        <v>28.749999999999996</v>
      </c>
      <c r="J113" s="5">
        <v>24</v>
      </c>
      <c r="K113" s="5" t="s">
        <v>919</v>
      </c>
      <c r="L113" s="5" t="s">
        <v>920</v>
      </c>
      <c r="M113" s="5"/>
    </row>
    <row r="114" spans="1:13" ht="15">
      <c r="A114" s="5" t="str">
        <f t="shared" si="1"/>
        <v>완료</v>
      </c>
      <c r="B114" s="5" t="s">
        <v>337</v>
      </c>
      <c r="C114" s="5" t="s">
        <v>337</v>
      </c>
      <c r="D114" s="5" t="s">
        <v>338</v>
      </c>
      <c r="E114" s="5" t="s">
        <v>335</v>
      </c>
      <c r="F114" s="8">
        <f>IFERROR(AVERAGEIF(Station_Visual_Nodes!$D:$D,B114,Station_Visual_Nodes!$I:$I),"")</f>
        <v>788</v>
      </c>
      <c r="G114" s="8">
        <f>IFERROR(AVERAGEIF(Station_Visual_Nodes!$D:$D,B114,Station_Visual_Nodes!$J:$J),"")</f>
        <v>900</v>
      </c>
      <c r="H114" s="11">
        <f>IF(F114="","",F114/Config!$B$2*100)</f>
        <v>15.390625</v>
      </c>
      <c r="I114" s="11">
        <f>IF(G114="","",G114/Config!$B$3*100)</f>
        <v>31.25</v>
      </c>
      <c r="J114" s="5">
        <v>24</v>
      </c>
      <c r="K114" s="5" t="s">
        <v>919</v>
      </c>
      <c r="L114" s="5" t="s">
        <v>920</v>
      </c>
      <c r="M114" s="5"/>
    </row>
    <row r="115" spans="1:13" ht="15">
      <c r="A115" s="5" t="str">
        <f t="shared" si="1"/>
        <v>완료</v>
      </c>
      <c r="B115" s="5" t="s">
        <v>339</v>
      </c>
      <c r="C115" s="5" t="s">
        <v>339</v>
      </c>
      <c r="D115" s="5" t="s">
        <v>340</v>
      </c>
      <c r="E115" s="5" t="s">
        <v>335</v>
      </c>
      <c r="F115" s="8">
        <f>IFERROR(AVERAGEIF(Station_Visual_Nodes!$D:$D,B115,Station_Visual_Nodes!$I:$I),"")</f>
        <v>788</v>
      </c>
      <c r="G115" s="8">
        <f>IFERROR(AVERAGEIF(Station_Visual_Nodes!$D:$D,B115,Station_Visual_Nodes!$J:$J),"")</f>
        <v>972</v>
      </c>
      <c r="H115" s="11">
        <f>IF(F115="","",F115/Config!$B$2*100)</f>
        <v>15.390625</v>
      </c>
      <c r="I115" s="11">
        <f>IF(G115="","",G115/Config!$B$3*100)</f>
        <v>33.75</v>
      </c>
      <c r="J115" s="5">
        <v>24</v>
      </c>
      <c r="K115" s="5" t="s">
        <v>919</v>
      </c>
      <c r="L115" s="5" t="s">
        <v>920</v>
      </c>
      <c r="M115" s="5"/>
    </row>
    <row r="116" spans="1:13" ht="15">
      <c r="A116" s="5" t="str">
        <f t="shared" si="1"/>
        <v>완료</v>
      </c>
      <c r="B116" s="5" t="s">
        <v>341</v>
      </c>
      <c r="C116" s="5" t="s">
        <v>341</v>
      </c>
      <c r="D116" s="5" t="s">
        <v>342</v>
      </c>
      <c r="E116" s="5" t="s">
        <v>335</v>
      </c>
      <c r="F116" s="8">
        <f>IFERROR(AVERAGEIF(Station_Visual_Nodes!$D:$D,B116,Station_Visual_Nodes!$I:$I),"")</f>
        <v>828</v>
      </c>
      <c r="G116" s="8">
        <f>IFERROR(AVERAGEIF(Station_Visual_Nodes!$D:$D,B116,Station_Visual_Nodes!$J:$J),"")</f>
        <v>1066</v>
      </c>
      <c r="H116" s="11">
        <f>IF(F116="","",F116/Config!$B$2*100)</f>
        <v>16.171875</v>
      </c>
      <c r="I116" s="11">
        <f>IF(G116="","",G116/Config!$B$3*100)</f>
        <v>37.013888888888893</v>
      </c>
      <c r="J116" s="5">
        <v>24</v>
      </c>
      <c r="K116" s="5" t="s">
        <v>919</v>
      </c>
      <c r="L116" s="5" t="s">
        <v>920</v>
      </c>
      <c r="M116" s="5"/>
    </row>
    <row r="117" spans="1:13" ht="15">
      <c r="A117" s="5" t="str">
        <f t="shared" si="1"/>
        <v>완료</v>
      </c>
      <c r="B117" s="5" t="s">
        <v>343</v>
      </c>
      <c r="C117" s="5" t="s">
        <v>343</v>
      </c>
      <c r="D117" s="5" t="s">
        <v>344</v>
      </c>
      <c r="E117" s="5" t="s">
        <v>335</v>
      </c>
      <c r="F117" s="8">
        <f>IFERROR(AVERAGEIF(Station_Visual_Nodes!$D:$D,B117,Station_Visual_Nodes!$I:$I),"")</f>
        <v>880</v>
      </c>
      <c r="G117" s="8">
        <f>IFERROR(AVERAGEIF(Station_Visual_Nodes!$D:$D,B117,Station_Visual_Nodes!$J:$J),"")</f>
        <v>1120</v>
      </c>
      <c r="H117" s="11">
        <f>IF(F117="","",F117/Config!$B$2*100)</f>
        <v>17.1875</v>
      </c>
      <c r="I117" s="11">
        <f>IF(G117="","",G117/Config!$B$3*100)</f>
        <v>38.888888888888893</v>
      </c>
      <c r="J117" s="5">
        <v>24</v>
      </c>
      <c r="K117" s="5" t="s">
        <v>919</v>
      </c>
      <c r="L117" s="5" t="s">
        <v>920</v>
      </c>
      <c r="M117" s="5"/>
    </row>
    <row r="118" spans="1:13" ht="15">
      <c r="A118" s="5" t="str">
        <f t="shared" si="1"/>
        <v>완료</v>
      </c>
      <c r="B118" s="5" t="s">
        <v>345</v>
      </c>
      <c r="C118" s="5" t="s">
        <v>345</v>
      </c>
      <c r="D118" s="5" t="s">
        <v>346</v>
      </c>
      <c r="E118" s="5" t="s">
        <v>335</v>
      </c>
      <c r="F118" s="8">
        <f>IFERROR(AVERAGEIF(Station_Visual_Nodes!$D:$D,B118,Station_Visual_Nodes!$I:$I),"")</f>
        <v>938</v>
      </c>
      <c r="G118" s="8">
        <f>IFERROR(AVERAGEIF(Station_Visual_Nodes!$D:$D,B118,Station_Visual_Nodes!$J:$J),"")</f>
        <v>1176</v>
      </c>
      <c r="H118" s="11">
        <f>IF(F118="","",F118/Config!$B$2*100)</f>
        <v>18.3203125</v>
      </c>
      <c r="I118" s="11">
        <f>IF(G118="","",G118/Config!$B$3*100)</f>
        <v>40.833333333333336</v>
      </c>
      <c r="J118" s="5">
        <v>24</v>
      </c>
      <c r="K118" s="5" t="s">
        <v>919</v>
      </c>
      <c r="L118" s="5" t="s">
        <v>920</v>
      </c>
      <c r="M118" s="5"/>
    </row>
    <row r="119" spans="1:13" ht="15">
      <c r="A119" s="5" t="str">
        <f t="shared" si="1"/>
        <v>완료</v>
      </c>
      <c r="B119" s="5" t="s">
        <v>347</v>
      </c>
      <c r="C119" s="5" t="s">
        <v>347</v>
      </c>
      <c r="D119" s="5" t="s">
        <v>348</v>
      </c>
      <c r="E119" s="5" t="s">
        <v>335</v>
      </c>
      <c r="F119" s="8">
        <f>IFERROR(AVERAGEIF(Station_Visual_Nodes!$D:$D,B119,Station_Visual_Nodes!$I:$I),"")</f>
        <v>996</v>
      </c>
      <c r="G119" s="8">
        <f>IFERROR(AVERAGEIF(Station_Visual_Nodes!$D:$D,B119,Station_Visual_Nodes!$J:$J),"")</f>
        <v>1234</v>
      </c>
      <c r="H119" s="11">
        <f>IF(F119="","",F119/Config!$B$2*100)</f>
        <v>19.453125</v>
      </c>
      <c r="I119" s="11">
        <f>IF(G119="","",G119/Config!$B$3*100)</f>
        <v>42.847222222222221</v>
      </c>
      <c r="J119" s="5">
        <v>24</v>
      </c>
      <c r="K119" s="5" t="s">
        <v>919</v>
      </c>
      <c r="L119" s="5" t="s">
        <v>920</v>
      </c>
      <c r="M119" s="5"/>
    </row>
    <row r="120" spans="1:13" ht="15">
      <c r="A120" s="5" t="str">
        <f t="shared" si="1"/>
        <v>완료</v>
      </c>
      <c r="B120" s="5" t="s">
        <v>349</v>
      </c>
      <c r="C120" s="5" t="s">
        <v>349</v>
      </c>
      <c r="D120" s="5" t="s">
        <v>350</v>
      </c>
      <c r="E120" s="5" t="s">
        <v>335</v>
      </c>
      <c r="F120" s="8">
        <f>IFERROR(AVERAGEIF(Station_Visual_Nodes!$D:$D,B120,Station_Visual_Nodes!$I:$I),"")</f>
        <v>1054</v>
      </c>
      <c r="G120" s="8">
        <f>IFERROR(AVERAGEIF(Station_Visual_Nodes!$D:$D,B120,Station_Visual_Nodes!$J:$J),"")</f>
        <v>1296</v>
      </c>
      <c r="H120" s="11">
        <f>IF(F120="","",F120/Config!$B$2*100)</f>
        <v>20.5859375</v>
      </c>
      <c r="I120" s="11">
        <f>IF(G120="","",G120/Config!$B$3*100)</f>
        <v>45</v>
      </c>
      <c r="J120" s="5">
        <v>24</v>
      </c>
      <c r="K120" s="5" t="s">
        <v>919</v>
      </c>
      <c r="L120" s="5" t="s">
        <v>920</v>
      </c>
      <c r="M120" s="5"/>
    </row>
    <row r="121" spans="1:13" ht="15">
      <c r="A121" s="5" t="str">
        <f t="shared" si="1"/>
        <v>완료</v>
      </c>
      <c r="B121" s="5" t="s">
        <v>351</v>
      </c>
      <c r="C121" s="5" t="s">
        <v>351</v>
      </c>
      <c r="D121" s="5" t="s">
        <v>352</v>
      </c>
      <c r="E121" s="5" t="s">
        <v>335</v>
      </c>
      <c r="F121" s="8">
        <f>IFERROR(AVERAGEIF(Station_Visual_Nodes!$D:$D,B121,Station_Visual_Nodes!$I:$I),"")</f>
        <v>1180</v>
      </c>
      <c r="G121" s="8">
        <f>IFERROR(AVERAGEIF(Station_Visual_Nodes!$D:$D,B121,Station_Visual_Nodes!$J:$J),"")</f>
        <v>1420</v>
      </c>
      <c r="H121" s="11">
        <f>IF(F121="","",F121/Config!$B$2*100)</f>
        <v>23.046875</v>
      </c>
      <c r="I121" s="11">
        <f>IF(G121="","",G121/Config!$B$3*100)</f>
        <v>49.305555555555557</v>
      </c>
      <c r="J121" s="5">
        <v>24</v>
      </c>
      <c r="K121" s="5" t="s">
        <v>919</v>
      </c>
      <c r="L121" s="5" t="s">
        <v>920</v>
      </c>
      <c r="M121" s="5"/>
    </row>
    <row r="122" spans="1:13" ht="15">
      <c r="A122" s="5" t="str">
        <f t="shared" si="1"/>
        <v>완료</v>
      </c>
      <c r="B122" s="5" t="s">
        <v>353</v>
      </c>
      <c r="C122" s="5" t="s">
        <v>353</v>
      </c>
      <c r="D122" s="5" t="s">
        <v>354</v>
      </c>
      <c r="E122" s="5" t="s">
        <v>335</v>
      </c>
      <c r="F122" s="8">
        <f>IFERROR(AVERAGEIF(Station_Visual_Nodes!$D:$D,B122,Station_Visual_Nodes!$I:$I),"")</f>
        <v>1240</v>
      </c>
      <c r="G122" s="8">
        <f>IFERROR(AVERAGEIF(Station_Visual_Nodes!$D:$D,B122,Station_Visual_Nodes!$J:$J),"")</f>
        <v>1476</v>
      </c>
      <c r="H122" s="11">
        <f>IF(F122="","",F122/Config!$B$2*100)</f>
        <v>24.21875</v>
      </c>
      <c r="I122" s="11">
        <f>IF(G122="","",G122/Config!$B$3*100)</f>
        <v>51.249999999999993</v>
      </c>
      <c r="J122" s="5">
        <v>24</v>
      </c>
      <c r="K122" s="5" t="s">
        <v>919</v>
      </c>
      <c r="L122" s="5" t="s">
        <v>920</v>
      </c>
      <c r="M122" s="5"/>
    </row>
    <row r="123" spans="1:13" ht="15">
      <c r="A123" s="5" t="str">
        <f t="shared" si="1"/>
        <v>완료</v>
      </c>
      <c r="B123" s="5" t="s">
        <v>355</v>
      </c>
      <c r="C123" s="5" t="s">
        <v>355</v>
      </c>
      <c r="D123" s="5" t="s">
        <v>356</v>
      </c>
      <c r="E123" s="5" t="s">
        <v>335</v>
      </c>
      <c r="F123" s="8">
        <f>IFERROR(AVERAGEIF(Station_Visual_Nodes!$D:$D,B123,Station_Visual_Nodes!$I:$I),"")</f>
        <v>1296</v>
      </c>
      <c r="G123" s="8">
        <f>IFERROR(AVERAGEIF(Station_Visual_Nodes!$D:$D,B123,Station_Visual_Nodes!$J:$J),"")</f>
        <v>1536</v>
      </c>
      <c r="H123" s="11">
        <f>IF(F123="","",F123/Config!$B$2*100)</f>
        <v>25.3125</v>
      </c>
      <c r="I123" s="11">
        <f>IF(G123="","",G123/Config!$B$3*100)</f>
        <v>53.333333333333336</v>
      </c>
      <c r="J123" s="5">
        <v>24</v>
      </c>
      <c r="K123" s="5" t="s">
        <v>919</v>
      </c>
      <c r="L123" s="5" t="s">
        <v>920</v>
      </c>
      <c r="M123" s="5"/>
    </row>
    <row r="124" spans="1:13" ht="15">
      <c r="A124" s="5" t="str">
        <f t="shared" si="1"/>
        <v>완료</v>
      </c>
      <c r="B124" s="5" t="s">
        <v>357</v>
      </c>
      <c r="C124" s="5" t="s">
        <v>357</v>
      </c>
      <c r="D124" s="5" t="s">
        <v>358</v>
      </c>
      <c r="E124" s="5" t="s">
        <v>335</v>
      </c>
      <c r="F124" s="8">
        <f>IFERROR(AVERAGEIF(Station_Visual_Nodes!$D:$D,B124,Station_Visual_Nodes!$I:$I),"")</f>
        <v>1356</v>
      </c>
      <c r="G124" s="8">
        <f>IFERROR(AVERAGEIF(Station_Visual_Nodes!$D:$D,B124,Station_Visual_Nodes!$J:$J),"")</f>
        <v>1594</v>
      </c>
      <c r="H124" s="11">
        <f>IF(F124="","",F124/Config!$B$2*100)</f>
        <v>26.484375</v>
      </c>
      <c r="I124" s="11">
        <f>IF(G124="","",G124/Config!$B$3*100)</f>
        <v>55.347222222222229</v>
      </c>
      <c r="J124" s="5">
        <v>24</v>
      </c>
      <c r="K124" s="5" t="s">
        <v>919</v>
      </c>
      <c r="L124" s="5" t="s">
        <v>920</v>
      </c>
      <c r="M124" s="5"/>
    </row>
    <row r="125" spans="1:13" ht="15">
      <c r="A125" s="5" t="str">
        <f t="shared" si="1"/>
        <v>완료</v>
      </c>
      <c r="B125" s="5" t="s">
        <v>359</v>
      </c>
      <c r="C125" s="5" t="s">
        <v>359</v>
      </c>
      <c r="D125" s="5" t="s">
        <v>360</v>
      </c>
      <c r="E125" s="5" t="s">
        <v>335</v>
      </c>
      <c r="F125" s="8">
        <f>IFERROR(AVERAGEIF(Station_Visual_Nodes!$D:$D,B125,Station_Visual_Nodes!$I:$I),"")</f>
        <v>1504</v>
      </c>
      <c r="G125" s="8">
        <f>IFERROR(AVERAGEIF(Station_Visual_Nodes!$D:$D,B125,Station_Visual_Nodes!$J:$J),"")</f>
        <v>1740</v>
      </c>
      <c r="H125" s="11">
        <f>IF(F125="","",F125/Config!$B$2*100)</f>
        <v>29.375</v>
      </c>
      <c r="I125" s="11">
        <f>IF(G125="","",G125/Config!$B$3*100)</f>
        <v>60.416666666666664</v>
      </c>
      <c r="J125" s="5">
        <v>24</v>
      </c>
      <c r="K125" s="5" t="s">
        <v>919</v>
      </c>
      <c r="L125" s="5" t="s">
        <v>920</v>
      </c>
      <c r="M125" s="5"/>
    </row>
    <row r="126" spans="1:13" ht="15">
      <c r="A126" s="5" t="str">
        <f t="shared" si="1"/>
        <v>완료</v>
      </c>
      <c r="B126" s="5" t="s">
        <v>361</v>
      </c>
      <c r="C126" s="5" t="s">
        <v>361</v>
      </c>
      <c r="D126" s="5" t="s">
        <v>362</v>
      </c>
      <c r="E126" s="5" t="s">
        <v>335</v>
      </c>
      <c r="F126" s="8">
        <f>IFERROR(AVERAGEIF(Station_Visual_Nodes!$D:$D,B126,Station_Visual_Nodes!$I:$I),"")</f>
        <v>1600</v>
      </c>
      <c r="G126" s="8">
        <f>IFERROR(AVERAGEIF(Station_Visual_Nodes!$D:$D,B126,Station_Visual_Nodes!$J:$J),"")</f>
        <v>1832</v>
      </c>
      <c r="H126" s="11">
        <f>IF(F126="","",F126/Config!$B$2*100)</f>
        <v>31.25</v>
      </c>
      <c r="I126" s="11">
        <f>IF(G126="","",G126/Config!$B$3*100)</f>
        <v>63.611111111111107</v>
      </c>
      <c r="J126" s="5">
        <v>24</v>
      </c>
      <c r="K126" s="5" t="s">
        <v>919</v>
      </c>
      <c r="L126" s="5" t="s">
        <v>920</v>
      </c>
      <c r="M126" s="5"/>
    </row>
    <row r="127" spans="1:13" ht="15">
      <c r="A127" s="5" t="str">
        <f t="shared" si="1"/>
        <v>완료</v>
      </c>
      <c r="B127" s="5" t="s">
        <v>363</v>
      </c>
      <c r="C127" s="5" t="s">
        <v>363</v>
      </c>
      <c r="D127" s="5" t="s">
        <v>364</v>
      </c>
      <c r="E127" s="5" t="s">
        <v>335</v>
      </c>
      <c r="F127" s="8">
        <f>IFERROR(AVERAGEIF(Station_Visual_Nodes!$D:$D,B127,Station_Visual_Nodes!$I:$I),"")</f>
        <v>1684</v>
      </c>
      <c r="G127" s="8">
        <f>IFERROR(AVERAGEIF(Station_Visual_Nodes!$D:$D,B127,Station_Visual_Nodes!$J:$J),"")</f>
        <v>1750</v>
      </c>
      <c r="H127" s="11">
        <f>IF(F127="","",F127/Config!$B$2*100)</f>
        <v>32.890625</v>
      </c>
      <c r="I127" s="11">
        <f>IF(G127="","",G127/Config!$B$3*100)</f>
        <v>60.763888888888886</v>
      </c>
      <c r="J127" s="5">
        <v>24</v>
      </c>
      <c r="K127" s="5" t="s">
        <v>919</v>
      </c>
      <c r="L127" s="5" t="s">
        <v>920</v>
      </c>
      <c r="M127" s="5"/>
    </row>
    <row r="128" spans="1:13" ht="15">
      <c r="A128" s="5" t="str">
        <f t="shared" si="1"/>
        <v>완료</v>
      </c>
      <c r="B128" s="5" t="s">
        <v>365</v>
      </c>
      <c r="C128" s="5" t="s">
        <v>365</v>
      </c>
      <c r="D128" s="5" t="s">
        <v>366</v>
      </c>
      <c r="E128" s="5" t="s">
        <v>335</v>
      </c>
      <c r="F128" s="8">
        <f>IFERROR(AVERAGEIF(Station_Visual_Nodes!$D:$D,B128,Station_Visual_Nodes!$I:$I),"")</f>
        <v>1752</v>
      </c>
      <c r="G128" s="8">
        <f>IFERROR(AVERAGEIF(Station_Visual_Nodes!$D:$D,B128,Station_Visual_Nodes!$J:$J),"")</f>
        <v>1676</v>
      </c>
      <c r="H128" s="11">
        <f>IF(F128="","",F128/Config!$B$2*100)</f>
        <v>34.21875</v>
      </c>
      <c r="I128" s="11">
        <f>IF(G128="","",G128/Config!$B$3*100)</f>
        <v>58.19444444444445</v>
      </c>
      <c r="J128" s="5">
        <v>24</v>
      </c>
      <c r="K128" s="5" t="s">
        <v>919</v>
      </c>
      <c r="L128" s="5" t="s">
        <v>920</v>
      </c>
      <c r="M128" s="5"/>
    </row>
    <row r="129" spans="1:13" ht="15">
      <c r="A129" s="5" t="str">
        <f t="shared" si="1"/>
        <v>완료</v>
      </c>
      <c r="B129" s="5" t="s">
        <v>367</v>
      </c>
      <c r="C129" s="5" t="s">
        <v>367</v>
      </c>
      <c r="D129" s="5" t="s">
        <v>368</v>
      </c>
      <c r="E129" s="5" t="s">
        <v>335</v>
      </c>
      <c r="F129" s="8">
        <f>IFERROR(AVERAGEIF(Station_Visual_Nodes!$D:$D,B129,Station_Visual_Nodes!$I:$I),"")</f>
        <v>1752</v>
      </c>
      <c r="G129" s="8">
        <f>IFERROR(AVERAGEIF(Station_Visual_Nodes!$D:$D,B129,Station_Visual_Nodes!$J:$J),"")</f>
        <v>1576</v>
      </c>
      <c r="H129" s="11">
        <f>IF(F129="","",F129/Config!$B$2*100)</f>
        <v>34.21875</v>
      </c>
      <c r="I129" s="11">
        <f>IF(G129="","",G129/Config!$B$3*100)</f>
        <v>54.722222222222229</v>
      </c>
      <c r="J129" s="5">
        <v>24</v>
      </c>
      <c r="K129" s="5" t="s">
        <v>919</v>
      </c>
      <c r="L129" s="5" t="s">
        <v>920</v>
      </c>
      <c r="M129" s="5"/>
    </row>
    <row r="130" spans="1:13" ht="15">
      <c r="A130" s="5" t="str">
        <f t="shared" ref="A130:A193" si="2">IF(OR(F130="",G130=""),"미작업","완료")</f>
        <v>완료</v>
      </c>
      <c r="B130" s="5" t="s">
        <v>369</v>
      </c>
      <c r="C130" s="5" t="s">
        <v>369</v>
      </c>
      <c r="D130" s="5" t="s">
        <v>370</v>
      </c>
      <c r="E130" s="5" t="s">
        <v>371</v>
      </c>
      <c r="F130" s="8">
        <f>IFERROR(AVERAGEIF(Station_Visual_Nodes!$D:$D,B130,Station_Visual_Nodes!$I:$I),"")</f>
        <v>1752</v>
      </c>
      <c r="G130" s="8">
        <f>IFERROR(AVERAGEIF(Station_Visual_Nodes!$D:$D,B130,Station_Visual_Nodes!$J:$J),"")</f>
        <v>1476</v>
      </c>
      <c r="H130" s="11">
        <f>IF(F130="","",F130/Config!$B$2*100)</f>
        <v>34.21875</v>
      </c>
      <c r="I130" s="11">
        <f>IF(G130="","",G130/Config!$B$3*100)</f>
        <v>51.249999999999993</v>
      </c>
      <c r="J130" s="5">
        <v>42</v>
      </c>
      <c r="K130" s="5" t="s">
        <v>919</v>
      </c>
      <c r="L130" s="5" t="s">
        <v>920</v>
      </c>
      <c r="M130" s="5"/>
    </row>
    <row r="131" spans="1:13" ht="15">
      <c r="A131" s="5" t="str">
        <f t="shared" si="2"/>
        <v>완료</v>
      </c>
      <c r="B131" s="5" t="s">
        <v>373</v>
      </c>
      <c r="C131" s="5" t="s">
        <v>373</v>
      </c>
      <c r="D131" s="5" t="s">
        <v>374</v>
      </c>
      <c r="E131" s="5" t="s">
        <v>335</v>
      </c>
      <c r="F131" s="8">
        <f>IFERROR(AVERAGEIF(Station_Visual_Nodes!$D:$D,B131,Station_Visual_Nodes!$I:$I),"")</f>
        <v>1752</v>
      </c>
      <c r="G131" s="8">
        <f>IFERROR(AVERAGEIF(Station_Visual_Nodes!$D:$D,B131,Station_Visual_Nodes!$J:$J),"")</f>
        <v>1308</v>
      </c>
      <c r="H131" s="11">
        <f>IF(F131="","",F131/Config!$B$2*100)</f>
        <v>34.21875</v>
      </c>
      <c r="I131" s="11">
        <f>IF(G131="","",G131/Config!$B$3*100)</f>
        <v>45.416666666666664</v>
      </c>
      <c r="J131" s="5">
        <v>24</v>
      </c>
      <c r="K131" s="5" t="s">
        <v>919</v>
      </c>
      <c r="L131" s="5" t="s">
        <v>920</v>
      </c>
      <c r="M131" s="5"/>
    </row>
    <row r="132" spans="1:13" ht="15">
      <c r="A132" s="5" t="str">
        <f t="shared" si="2"/>
        <v>완료</v>
      </c>
      <c r="B132" s="5" t="s">
        <v>375</v>
      </c>
      <c r="C132" s="5" t="s">
        <v>375</v>
      </c>
      <c r="D132" s="5" t="s">
        <v>376</v>
      </c>
      <c r="E132" s="5" t="s">
        <v>335</v>
      </c>
      <c r="F132" s="8">
        <f>IFERROR(AVERAGEIF(Station_Visual_Nodes!$D:$D,B132,Station_Visual_Nodes!$I:$I),"")</f>
        <v>1752</v>
      </c>
      <c r="G132" s="8">
        <f>IFERROR(AVERAGEIF(Station_Visual_Nodes!$D:$D,B132,Station_Visual_Nodes!$J:$J),"")</f>
        <v>980</v>
      </c>
      <c r="H132" s="11">
        <f>IF(F132="","",F132/Config!$B$2*100)</f>
        <v>34.21875</v>
      </c>
      <c r="I132" s="11">
        <f>IF(G132="","",G132/Config!$B$3*100)</f>
        <v>34.027777777777779</v>
      </c>
      <c r="J132" s="5">
        <v>24</v>
      </c>
      <c r="K132" s="5" t="s">
        <v>919</v>
      </c>
      <c r="L132" s="5" t="s">
        <v>920</v>
      </c>
      <c r="M132" s="5"/>
    </row>
    <row r="133" spans="1:13" ht="15">
      <c r="A133" s="5" t="str">
        <f t="shared" si="2"/>
        <v>완료</v>
      </c>
      <c r="B133" s="5" t="s">
        <v>377</v>
      </c>
      <c r="C133" s="5" t="s">
        <v>377</v>
      </c>
      <c r="D133" s="5" t="s">
        <v>378</v>
      </c>
      <c r="E133" s="5" t="s">
        <v>335</v>
      </c>
      <c r="F133" s="8">
        <f>IFERROR(AVERAGEIF(Station_Visual_Nodes!$D:$D,B133,Station_Visual_Nodes!$I:$I),"")</f>
        <v>1916</v>
      </c>
      <c r="G133" s="8">
        <f>IFERROR(AVERAGEIF(Station_Visual_Nodes!$D:$D,B133,Station_Visual_Nodes!$J:$J),"")</f>
        <v>980</v>
      </c>
      <c r="H133" s="11">
        <f>IF(F133="","",F133/Config!$B$2*100)</f>
        <v>37.421875</v>
      </c>
      <c r="I133" s="11">
        <f>IF(G133="","",G133/Config!$B$3*100)</f>
        <v>34.027777777777779</v>
      </c>
      <c r="J133" s="5">
        <v>24</v>
      </c>
      <c r="K133" s="5" t="s">
        <v>919</v>
      </c>
      <c r="L133" s="5" t="s">
        <v>920</v>
      </c>
      <c r="M133" s="5"/>
    </row>
    <row r="134" spans="1:13" ht="15">
      <c r="A134" s="5" t="str">
        <f t="shared" si="2"/>
        <v>완료</v>
      </c>
      <c r="B134" s="5" t="s">
        <v>380</v>
      </c>
      <c r="C134" s="5" t="s">
        <v>380</v>
      </c>
      <c r="D134" s="5" t="s">
        <v>381</v>
      </c>
      <c r="E134" s="5" t="s">
        <v>371</v>
      </c>
      <c r="F134" s="8">
        <f>IFERROR(AVERAGEIF(Station_Visual_Nodes!$D:$D,B134,Station_Visual_Nodes!$I:$I),"")</f>
        <v>2528</v>
      </c>
      <c r="G134" s="8">
        <f>IFERROR(AVERAGEIF(Station_Visual_Nodes!$D:$D,B134,Station_Visual_Nodes!$J:$J),"")</f>
        <v>1244</v>
      </c>
      <c r="H134" s="11">
        <f>IF(F134="","",F134/Config!$B$2*100)</f>
        <v>49.375</v>
      </c>
      <c r="I134" s="11">
        <f>IF(G134="","",G134/Config!$B$3*100)</f>
        <v>43.194444444444443</v>
      </c>
      <c r="J134" s="5">
        <v>42</v>
      </c>
      <c r="K134" s="5" t="s">
        <v>919</v>
      </c>
      <c r="L134" s="5" t="s">
        <v>920</v>
      </c>
      <c r="M134" s="5"/>
    </row>
    <row r="135" spans="1:13" ht="15">
      <c r="A135" s="5" t="str">
        <f t="shared" si="2"/>
        <v>완료</v>
      </c>
      <c r="B135" s="5" t="s">
        <v>382</v>
      </c>
      <c r="C135" s="5" t="s">
        <v>382</v>
      </c>
      <c r="D135" s="5" t="s">
        <v>383</v>
      </c>
      <c r="E135" s="5" t="s">
        <v>335</v>
      </c>
      <c r="F135" s="8">
        <f>IFERROR(AVERAGEIF(Station_Visual_Nodes!$D:$D,B135,Station_Visual_Nodes!$I:$I),"")</f>
        <v>2628</v>
      </c>
      <c r="G135" s="8">
        <f>IFERROR(AVERAGEIF(Station_Visual_Nodes!$D:$D,B135,Station_Visual_Nodes!$J:$J),"")</f>
        <v>1344</v>
      </c>
      <c r="H135" s="11">
        <f>IF(F135="","",F135/Config!$B$2*100)</f>
        <v>51.328125</v>
      </c>
      <c r="I135" s="11">
        <f>IF(G135="","",G135/Config!$B$3*100)</f>
        <v>46.666666666666664</v>
      </c>
      <c r="J135" s="5">
        <v>24</v>
      </c>
      <c r="K135" s="5" t="s">
        <v>919</v>
      </c>
      <c r="L135" s="5" t="s">
        <v>920</v>
      </c>
      <c r="M135" s="5"/>
    </row>
    <row r="136" spans="1:13" ht="15">
      <c r="A136" s="5" t="str">
        <f t="shared" si="2"/>
        <v>완료</v>
      </c>
      <c r="B136" s="5" t="s">
        <v>384</v>
      </c>
      <c r="C136" s="5" t="s">
        <v>384</v>
      </c>
      <c r="D136" s="5" t="s">
        <v>385</v>
      </c>
      <c r="E136" s="5" t="s">
        <v>335</v>
      </c>
      <c r="F136" s="8">
        <f>IFERROR(AVERAGEIF(Station_Visual_Nodes!$D:$D,B136,Station_Visual_Nodes!$I:$I),"")</f>
        <v>2740</v>
      </c>
      <c r="G136" s="8">
        <f>IFERROR(AVERAGEIF(Station_Visual_Nodes!$D:$D,B136,Station_Visual_Nodes!$J:$J),"")</f>
        <v>1244</v>
      </c>
      <c r="H136" s="11">
        <f>IF(F136="","",F136/Config!$B$2*100)</f>
        <v>53.515625</v>
      </c>
      <c r="I136" s="11">
        <f>IF(G136="","",G136/Config!$B$3*100)</f>
        <v>43.194444444444443</v>
      </c>
      <c r="J136" s="5">
        <v>24</v>
      </c>
      <c r="K136" s="5" t="s">
        <v>919</v>
      </c>
      <c r="L136" s="5" t="s">
        <v>920</v>
      </c>
      <c r="M136" s="5"/>
    </row>
    <row r="137" spans="1:13" ht="15">
      <c r="A137" s="5" t="str">
        <f t="shared" si="2"/>
        <v>완료</v>
      </c>
      <c r="B137" s="5" t="s">
        <v>386</v>
      </c>
      <c r="C137" s="5" t="s">
        <v>386</v>
      </c>
      <c r="D137" s="5" t="s">
        <v>387</v>
      </c>
      <c r="E137" s="5" t="s">
        <v>335</v>
      </c>
      <c r="F137" s="8">
        <f>IFERROR(AVERAGEIF(Station_Visual_Nodes!$D:$D,B137,Station_Visual_Nodes!$I:$I),"")</f>
        <v>2884</v>
      </c>
      <c r="G137" s="8">
        <f>IFERROR(AVERAGEIF(Station_Visual_Nodes!$D:$D,B137,Station_Visual_Nodes!$J:$J),"")</f>
        <v>1144</v>
      </c>
      <c r="H137" s="11">
        <f>IF(F137="","",F137/Config!$B$2*100)</f>
        <v>56.328124999999993</v>
      </c>
      <c r="I137" s="11">
        <f>IF(G137="","",G137/Config!$B$3*100)</f>
        <v>39.722222222222221</v>
      </c>
      <c r="J137" s="5">
        <v>24</v>
      </c>
      <c r="K137" s="5" t="s">
        <v>919</v>
      </c>
      <c r="L137" s="5" t="s">
        <v>920</v>
      </c>
      <c r="M137" s="5"/>
    </row>
    <row r="138" spans="1:13" ht="15">
      <c r="A138" s="5" t="str">
        <f t="shared" si="2"/>
        <v>완료</v>
      </c>
      <c r="B138" s="5" t="s">
        <v>388</v>
      </c>
      <c r="C138" s="5" t="s">
        <v>388</v>
      </c>
      <c r="D138" s="5" t="s">
        <v>389</v>
      </c>
      <c r="E138" s="5" t="s">
        <v>335</v>
      </c>
      <c r="F138" s="8">
        <f>IFERROR(AVERAGEIF(Station_Visual_Nodes!$D:$D,B138,Station_Visual_Nodes!$I:$I),"")</f>
        <v>3084</v>
      </c>
      <c r="G138" s="8">
        <f>IFERROR(AVERAGEIF(Station_Visual_Nodes!$D:$D,B138,Station_Visual_Nodes!$J:$J),"")</f>
        <v>1144</v>
      </c>
      <c r="H138" s="11">
        <f>IF(F138="","",F138/Config!$B$2*100)</f>
        <v>60.234374999999993</v>
      </c>
      <c r="I138" s="11">
        <f>IF(G138="","",G138/Config!$B$3*100)</f>
        <v>39.722222222222221</v>
      </c>
      <c r="J138" s="5">
        <v>24</v>
      </c>
      <c r="K138" s="5" t="s">
        <v>919</v>
      </c>
      <c r="L138" s="5" t="s">
        <v>920</v>
      </c>
      <c r="M138" s="5"/>
    </row>
    <row r="139" spans="1:13" ht="15">
      <c r="A139" s="5" t="str">
        <f t="shared" si="2"/>
        <v>완료</v>
      </c>
      <c r="B139" s="5" t="s">
        <v>390</v>
      </c>
      <c r="C139" s="5" t="s">
        <v>390</v>
      </c>
      <c r="D139" s="5" t="s">
        <v>391</v>
      </c>
      <c r="E139" s="5" t="s">
        <v>335</v>
      </c>
      <c r="F139" s="8">
        <f>IFERROR(AVERAGEIF(Station_Visual_Nodes!$D:$D,B139,Station_Visual_Nodes!$I:$I),"")</f>
        <v>3192</v>
      </c>
      <c r="G139" s="8">
        <f>IFERROR(AVERAGEIF(Station_Visual_Nodes!$D:$D,B139,Station_Visual_Nodes!$J:$J),"")</f>
        <v>1144</v>
      </c>
      <c r="H139" s="11">
        <f>IF(F139="","",F139/Config!$B$2*100)</f>
        <v>62.34375</v>
      </c>
      <c r="I139" s="11">
        <f>IF(G139="","",G139/Config!$B$3*100)</f>
        <v>39.722222222222221</v>
      </c>
      <c r="J139" s="5">
        <v>24</v>
      </c>
      <c r="K139" s="5" t="s">
        <v>919</v>
      </c>
      <c r="L139" s="5" t="s">
        <v>920</v>
      </c>
      <c r="M139" s="5"/>
    </row>
    <row r="140" spans="1:13" ht="15">
      <c r="A140" s="5" t="str">
        <f t="shared" si="2"/>
        <v>완료</v>
      </c>
      <c r="B140" s="5" t="s">
        <v>392</v>
      </c>
      <c r="C140" s="5" t="s">
        <v>392</v>
      </c>
      <c r="D140" s="5" t="s">
        <v>393</v>
      </c>
      <c r="E140" s="5" t="s">
        <v>394</v>
      </c>
      <c r="F140" s="8">
        <f>IFERROR(AVERAGEIF(Station_Visual_Nodes!$D:$D,B140,Station_Visual_Nodes!$I:$I),"")</f>
        <v>3192</v>
      </c>
      <c r="G140" s="8">
        <f>IFERROR(AVERAGEIF(Station_Visual_Nodes!$D:$D,B140,Station_Visual_Nodes!$J:$J),"")</f>
        <v>1250</v>
      </c>
      <c r="H140" s="11">
        <f>IF(F140="","",F140/Config!$B$2*100)</f>
        <v>62.34375</v>
      </c>
      <c r="I140" s="11">
        <f>IF(G140="","",G140/Config!$B$3*100)</f>
        <v>43.402777777777779</v>
      </c>
      <c r="J140" s="5">
        <v>42</v>
      </c>
      <c r="K140" s="5" t="s">
        <v>919</v>
      </c>
      <c r="L140" s="5" t="s">
        <v>920</v>
      </c>
      <c r="M140" s="5"/>
    </row>
    <row r="141" spans="1:13" ht="15">
      <c r="A141" s="5" t="str">
        <f t="shared" si="2"/>
        <v>완료</v>
      </c>
      <c r="B141" s="5" t="s">
        <v>396</v>
      </c>
      <c r="C141" s="5" t="s">
        <v>396</v>
      </c>
      <c r="D141" s="5" t="s">
        <v>397</v>
      </c>
      <c r="E141" s="5" t="s">
        <v>335</v>
      </c>
      <c r="F141" s="8">
        <f>IFERROR(AVERAGEIF(Station_Visual_Nodes!$D:$D,B141,Station_Visual_Nodes!$I:$I),"")</f>
        <v>3192</v>
      </c>
      <c r="G141" s="8">
        <f>IFERROR(AVERAGEIF(Station_Visual_Nodes!$D:$D,B141,Station_Visual_Nodes!$J:$J),"")</f>
        <v>1368</v>
      </c>
      <c r="H141" s="11">
        <f>IF(F141="","",F141/Config!$B$2*100)</f>
        <v>62.34375</v>
      </c>
      <c r="I141" s="11">
        <f>IF(G141="","",G141/Config!$B$3*100)</f>
        <v>47.5</v>
      </c>
      <c r="J141" s="5">
        <v>24</v>
      </c>
      <c r="K141" s="5" t="s">
        <v>919</v>
      </c>
      <c r="L141" s="5" t="s">
        <v>920</v>
      </c>
      <c r="M141" s="5"/>
    </row>
    <row r="142" spans="1:13" ht="15">
      <c r="A142" s="5" t="str">
        <f t="shared" si="2"/>
        <v>완료</v>
      </c>
      <c r="B142" s="5" t="s">
        <v>398</v>
      </c>
      <c r="C142" s="5" t="s">
        <v>398</v>
      </c>
      <c r="D142" s="5" t="s">
        <v>399</v>
      </c>
      <c r="E142" s="5" t="s">
        <v>335</v>
      </c>
      <c r="F142" s="8">
        <f>IFERROR(AVERAGEIF(Station_Visual_Nodes!$D:$D,B142,Station_Visual_Nodes!$I:$I),"")</f>
        <v>3192</v>
      </c>
      <c r="G142" s="8">
        <f>IFERROR(AVERAGEIF(Station_Visual_Nodes!$D:$D,B142,Station_Visual_Nodes!$J:$J),"")</f>
        <v>1484</v>
      </c>
      <c r="H142" s="11">
        <f>IF(F142="","",F142/Config!$B$2*100)</f>
        <v>62.34375</v>
      </c>
      <c r="I142" s="11">
        <f>IF(G142="","",G142/Config!$B$3*100)</f>
        <v>51.527777777777771</v>
      </c>
      <c r="J142" s="5">
        <v>24</v>
      </c>
      <c r="K142" s="5" t="s">
        <v>919</v>
      </c>
      <c r="L142" s="5" t="s">
        <v>920</v>
      </c>
      <c r="M142" s="5"/>
    </row>
    <row r="143" spans="1:13" ht="15">
      <c r="A143" s="5" t="str">
        <f t="shared" si="2"/>
        <v>완료</v>
      </c>
      <c r="B143" s="5" t="s">
        <v>400</v>
      </c>
      <c r="C143" s="5" t="s">
        <v>400</v>
      </c>
      <c r="D143" s="5" t="s">
        <v>401</v>
      </c>
      <c r="E143" s="5" t="s">
        <v>402</v>
      </c>
      <c r="F143" s="8">
        <f>IFERROR(AVERAGEIF(Station_Visual_Nodes!$D:$D,B143,Station_Visual_Nodes!$I:$I),"")</f>
        <v>3340</v>
      </c>
      <c r="G143" s="8">
        <f>IFERROR(AVERAGEIF(Station_Visual_Nodes!$D:$D,B143,Station_Visual_Nodes!$J:$J),"")</f>
        <v>1636</v>
      </c>
      <c r="H143" s="11">
        <f>IF(F143="","",F143/Config!$B$2*100)</f>
        <v>65.234375</v>
      </c>
      <c r="I143" s="11">
        <f>IF(G143="","",G143/Config!$B$3*100)</f>
        <v>56.805555555555557</v>
      </c>
      <c r="J143" s="5">
        <v>42</v>
      </c>
      <c r="K143" s="5" t="s">
        <v>919</v>
      </c>
      <c r="L143" s="5" t="s">
        <v>920</v>
      </c>
      <c r="M143" s="5"/>
    </row>
    <row r="144" spans="1:13" ht="15">
      <c r="A144" s="5" t="str">
        <f t="shared" si="2"/>
        <v>완료</v>
      </c>
      <c r="B144" s="5" t="s">
        <v>404</v>
      </c>
      <c r="C144" s="5" t="s">
        <v>404</v>
      </c>
      <c r="D144" s="5" t="s">
        <v>405</v>
      </c>
      <c r="E144" s="5" t="s">
        <v>335</v>
      </c>
      <c r="F144" s="8">
        <f>IFERROR(AVERAGEIF(Station_Visual_Nodes!$D:$D,B144,Station_Visual_Nodes!$I:$I),"")</f>
        <v>3468</v>
      </c>
      <c r="G144" s="8">
        <f>IFERROR(AVERAGEIF(Station_Visual_Nodes!$D:$D,B144,Station_Visual_Nodes!$J:$J),"")</f>
        <v>1760</v>
      </c>
      <c r="H144" s="11">
        <f>IF(F144="","",F144/Config!$B$2*100)</f>
        <v>67.734375</v>
      </c>
      <c r="I144" s="11">
        <f>IF(G144="","",G144/Config!$B$3*100)</f>
        <v>61.111111111111114</v>
      </c>
      <c r="J144" s="5">
        <v>24</v>
      </c>
      <c r="K144" s="5" t="s">
        <v>919</v>
      </c>
      <c r="L144" s="5" t="s">
        <v>920</v>
      </c>
      <c r="M144" s="5"/>
    </row>
    <row r="145" spans="1:13" ht="15">
      <c r="A145" s="5" t="str">
        <f t="shared" si="2"/>
        <v>완료</v>
      </c>
      <c r="B145" s="5" t="s">
        <v>407</v>
      </c>
      <c r="C145" s="5" t="s">
        <v>407</v>
      </c>
      <c r="D145" s="5" t="s">
        <v>408</v>
      </c>
      <c r="E145" s="5" t="s">
        <v>335</v>
      </c>
      <c r="F145" s="8">
        <f>IFERROR(AVERAGEIF(Station_Visual_Nodes!$D:$D,B145,Station_Visual_Nodes!$I:$I),"")</f>
        <v>3616</v>
      </c>
      <c r="G145" s="8">
        <f>IFERROR(AVERAGEIF(Station_Visual_Nodes!$D:$D,B145,Station_Visual_Nodes!$J:$J),"")</f>
        <v>1760</v>
      </c>
      <c r="H145" s="11">
        <f>IF(F145="","",F145/Config!$B$2*100)</f>
        <v>70.625</v>
      </c>
      <c r="I145" s="11">
        <f>IF(G145="","",G145/Config!$B$3*100)</f>
        <v>61.111111111111114</v>
      </c>
      <c r="J145" s="5">
        <v>24</v>
      </c>
      <c r="K145" s="5" t="s">
        <v>919</v>
      </c>
      <c r="L145" s="5" t="s">
        <v>920</v>
      </c>
      <c r="M145" s="5"/>
    </row>
    <row r="146" spans="1:13" ht="15">
      <c r="A146" s="5" t="str">
        <f t="shared" si="2"/>
        <v>완료</v>
      </c>
      <c r="B146" s="5" t="s">
        <v>410</v>
      </c>
      <c r="C146" s="5" t="s">
        <v>410</v>
      </c>
      <c r="D146" s="5" t="s">
        <v>411</v>
      </c>
      <c r="E146" s="5" t="s">
        <v>335</v>
      </c>
      <c r="F146" s="8">
        <f>IFERROR(AVERAGEIF(Station_Visual_Nodes!$D:$D,B146,Station_Visual_Nodes!$I:$I),"")</f>
        <v>3764</v>
      </c>
      <c r="G146" s="8">
        <f>IFERROR(AVERAGEIF(Station_Visual_Nodes!$D:$D,B146,Station_Visual_Nodes!$J:$J),"")</f>
        <v>1760</v>
      </c>
      <c r="H146" s="11">
        <f>IF(F146="","",F146/Config!$B$2*100)</f>
        <v>73.515625</v>
      </c>
      <c r="I146" s="11">
        <f>IF(G146="","",G146/Config!$B$3*100)</f>
        <v>61.111111111111114</v>
      </c>
      <c r="J146" s="5">
        <v>24</v>
      </c>
      <c r="K146" s="5" t="s">
        <v>919</v>
      </c>
      <c r="L146" s="5" t="s">
        <v>920</v>
      </c>
      <c r="M146" s="5"/>
    </row>
    <row r="147" spans="1:13" ht="15">
      <c r="A147" s="5" t="str">
        <f t="shared" si="2"/>
        <v>완료</v>
      </c>
      <c r="B147" s="5" t="s">
        <v>412</v>
      </c>
      <c r="C147" s="5" t="s">
        <v>412</v>
      </c>
      <c r="D147" s="5" t="s">
        <v>413</v>
      </c>
      <c r="E147" s="5" t="s">
        <v>335</v>
      </c>
      <c r="F147" s="8">
        <f>IFERROR(AVERAGEIF(Station_Visual_Nodes!$D:$D,B147,Station_Visual_Nodes!$I:$I),"")</f>
        <v>3912</v>
      </c>
      <c r="G147" s="8">
        <f>IFERROR(AVERAGEIF(Station_Visual_Nodes!$D:$D,B147,Station_Visual_Nodes!$J:$J),"")</f>
        <v>1760</v>
      </c>
      <c r="H147" s="11">
        <f>IF(F147="","",F147/Config!$B$2*100)</f>
        <v>76.40625</v>
      </c>
      <c r="I147" s="11">
        <f>IF(G147="","",G147/Config!$B$3*100)</f>
        <v>61.111111111111114</v>
      </c>
      <c r="J147" s="5">
        <v>24</v>
      </c>
      <c r="K147" s="5" t="s">
        <v>919</v>
      </c>
      <c r="L147" s="5" t="s">
        <v>920</v>
      </c>
      <c r="M147" s="5"/>
    </row>
    <row r="148" spans="1:13" ht="15">
      <c r="A148" s="5" t="str">
        <f t="shared" si="2"/>
        <v>완료</v>
      </c>
      <c r="B148" s="5" t="s">
        <v>414</v>
      </c>
      <c r="C148" s="5" t="s">
        <v>414</v>
      </c>
      <c r="D148" s="5" t="s">
        <v>415</v>
      </c>
      <c r="E148" s="5" t="s">
        <v>335</v>
      </c>
      <c r="F148" s="8">
        <f>IFERROR(AVERAGEIF(Station_Visual_Nodes!$D:$D,B148,Station_Visual_Nodes!$I:$I),"")</f>
        <v>4060</v>
      </c>
      <c r="G148" s="8">
        <f>IFERROR(AVERAGEIF(Station_Visual_Nodes!$D:$D,B148,Station_Visual_Nodes!$J:$J),"")</f>
        <v>1760</v>
      </c>
      <c r="H148" s="11">
        <f>IF(F148="","",F148/Config!$B$2*100)</f>
        <v>79.296875</v>
      </c>
      <c r="I148" s="11">
        <f>IF(G148="","",G148/Config!$B$3*100)</f>
        <v>61.111111111111114</v>
      </c>
      <c r="J148" s="5">
        <v>24</v>
      </c>
      <c r="K148" s="5" t="s">
        <v>919</v>
      </c>
      <c r="L148" s="5" t="s">
        <v>920</v>
      </c>
      <c r="M148" s="5"/>
    </row>
    <row r="149" spans="1:13" ht="15">
      <c r="A149" s="5" t="str">
        <f t="shared" si="2"/>
        <v>완료</v>
      </c>
      <c r="B149" s="5" t="s">
        <v>416</v>
      </c>
      <c r="C149" s="5" t="s">
        <v>416</v>
      </c>
      <c r="D149" s="5" t="s">
        <v>417</v>
      </c>
      <c r="E149" s="5" t="s">
        <v>335</v>
      </c>
      <c r="F149" s="8">
        <f>IFERROR(AVERAGEIF(Station_Visual_Nodes!$D:$D,B149,Station_Visual_Nodes!$I:$I),"")</f>
        <v>4208</v>
      </c>
      <c r="G149" s="8">
        <f>IFERROR(AVERAGEIF(Station_Visual_Nodes!$D:$D,B149,Station_Visual_Nodes!$J:$J),"")</f>
        <v>1760</v>
      </c>
      <c r="H149" s="11">
        <f>IF(F149="","",F149/Config!$B$2*100)</f>
        <v>82.1875</v>
      </c>
      <c r="I149" s="11">
        <f>IF(G149="","",G149/Config!$B$3*100)</f>
        <v>61.111111111111114</v>
      </c>
      <c r="J149" s="5">
        <v>24</v>
      </c>
      <c r="K149" s="5" t="s">
        <v>919</v>
      </c>
      <c r="L149" s="5" t="s">
        <v>920</v>
      </c>
      <c r="M149" s="5"/>
    </row>
    <row r="150" spans="1:13" ht="15">
      <c r="A150" s="5" t="str">
        <f t="shared" si="2"/>
        <v>완료</v>
      </c>
      <c r="B150" s="5" t="s">
        <v>418</v>
      </c>
      <c r="C150" s="5" t="s">
        <v>418</v>
      </c>
      <c r="D150" s="5" t="s">
        <v>419</v>
      </c>
      <c r="E150" s="5" t="s">
        <v>335</v>
      </c>
      <c r="F150" s="8">
        <f>IFERROR(AVERAGEIF(Station_Visual_Nodes!$D:$D,B150,Station_Visual_Nodes!$I:$I),"")</f>
        <v>4356</v>
      </c>
      <c r="G150" s="8">
        <f>IFERROR(AVERAGEIF(Station_Visual_Nodes!$D:$D,B150,Station_Visual_Nodes!$J:$J),"")</f>
        <v>1760</v>
      </c>
      <c r="H150" s="11">
        <f>IF(F150="","",F150/Config!$B$2*100)</f>
        <v>85.078125</v>
      </c>
      <c r="I150" s="11">
        <f>IF(G150="","",G150/Config!$B$3*100)</f>
        <v>61.111111111111114</v>
      </c>
      <c r="J150" s="5">
        <v>24</v>
      </c>
      <c r="K150" s="5" t="s">
        <v>919</v>
      </c>
      <c r="L150" s="5" t="s">
        <v>920</v>
      </c>
      <c r="M150" s="5"/>
    </row>
    <row r="151" spans="1:13" ht="15">
      <c r="A151" s="5" t="str">
        <f t="shared" si="2"/>
        <v>완료</v>
      </c>
      <c r="B151" s="5" t="s">
        <v>420</v>
      </c>
      <c r="C151" s="5" t="s">
        <v>420</v>
      </c>
      <c r="D151" s="5" t="s">
        <v>421</v>
      </c>
      <c r="E151" s="5" t="s">
        <v>335</v>
      </c>
      <c r="F151" s="8">
        <f>IFERROR(AVERAGEIF(Station_Visual_Nodes!$D:$D,B151,Station_Visual_Nodes!$I:$I),"")</f>
        <v>4356</v>
      </c>
      <c r="G151" s="8">
        <f>IFERROR(AVERAGEIF(Station_Visual_Nodes!$D:$D,B151,Station_Visual_Nodes!$J:$J),"")</f>
        <v>1868</v>
      </c>
      <c r="H151" s="11">
        <f>IF(F151="","",F151/Config!$B$2*100)</f>
        <v>85.078125</v>
      </c>
      <c r="I151" s="11">
        <f>IF(G151="","",G151/Config!$B$3*100)</f>
        <v>64.861111111111114</v>
      </c>
      <c r="J151" s="5">
        <v>24</v>
      </c>
      <c r="K151" s="5" t="s">
        <v>919</v>
      </c>
      <c r="L151" s="5" t="s">
        <v>920</v>
      </c>
      <c r="M151" s="5"/>
    </row>
    <row r="152" spans="1:13" ht="15">
      <c r="A152" s="5" t="str">
        <f t="shared" si="2"/>
        <v>완료</v>
      </c>
      <c r="B152" s="5" t="s">
        <v>422</v>
      </c>
      <c r="C152" s="5" t="s">
        <v>422</v>
      </c>
      <c r="D152" s="5" t="s">
        <v>423</v>
      </c>
      <c r="E152" s="5" t="s">
        <v>335</v>
      </c>
      <c r="F152" s="8">
        <f>IFERROR(AVERAGEIF(Station_Visual_Nodes!$D:$D,B152,Station_Visual_Nodes!$I:$I),"")</f>
        <v>4356</v>
      </c>
      <c r="G152" s="8">
        <f>IFERROR(AVERAGEIF(Station_Visual_Nodes!$D:$D,B152,Station_Visual_Nodes!$J:$J),"")</f>
        <v>1976</v>
      </c>
      <c r="H152" s="11">
        <f>IF(F152="","",F152/Config!$B$2*100)</f>
        <v>85.078125</v>
      </c>
      <c r="I152" s="11">
        <f>IF(G152="","",G152/Config!$B$3*100)</f>
        <v>68.611111111111114</v>
      </c>
      <c r="J152" s="5">
        <v>24</v>
      </c>
      <c r="K152" s="5" t="s">
        <v>919</v>
      </c>
      <c r="L152" s="5" t="s">
        <v>920</v>
      </c>
      <c r="M152" s="5"/>
    </row>
    <row r="153" spans="1:13" ht="15">
      <c r="A153" s="5" t="str">
        <f t="shared" si="2"/>
        <v>완료</v>
      </c>
      <c r="B153" s="5" t="s">
        <v>424</v>
      </c>
      <c r="C153" s="5" t="s">
        <v>424</v>
      </c>
      <c r="D153" s="5" t="s">
        <v>425</v>
      </c>
      <c r="E153" s="5" t="s">
        <v>335</v>
      </c>
      <c r="F153" s="8">
        <f>IFERROR(AVERAGEIF(Station_Visual_Nodes!$D:$D,B153,Station_Visual_Nodes!$I:$I),"")</f>
        <v>4356</v>
      </c>
      <c r="G153" s="8">
        <f>IFERROR(AVERAGEIF(Station_Visual_Nodes!$D:$D,B153,Station_Visual_Nodes!$J:$J),"")</f>
        <v>2084</v>
      </c>
      <c r="H153" s="11">
        <f>IF(F153="","",F153/Config!$B$2*100)</f>
        <v>85.078125</v>
      </c>
      <c r="I153" s="11">
        <f>IF(G153="","",G153/Config!$B$3*100)</f>
        <v>72.361111111111114</v>
      </c>
      <c r="J153" s="5">
        <v>24</v>
      </c>
      <c r="K153" s="5" t="s">
        <v>919</v>
      </c>
      <c r="L153" s="5" t="s">
        <v>920</v>
      </c>
      <c r="M153" s="5"/>
    </row>
    <row r="154" spans="1:13" ht="15">
      <c r="A154" s="5" t="str">
        <f t="shared" si="2"/>
        <v>완료</v>
      </c>
      <c r="B154" s="5" t="s">
        <v>427</v>
      </c>
      <c r="C154" s="5" t="s">
        <v>427</v>
      </c>
      <c r="D154" s="5" t="s">
        <v>428</v>
      </c>
      <c r="E154" s="5" t="s">
        <v>335</v>
      </c>
      <c r="F154" s="8">
        <f>IFERROR(AVERAGEIF(Station_Visual_Nodes!$D:$D,B154,Station_Visual_Nodes!$I:$I),"")</f>
        <v>4356</v>
      </c>
      <c r="G154" s="8">
        <f>IFERROR(AVERAGEIF(Station_Visual_Nodes!$D:$D,B154,Station_Visual_Nodes!$J:$J),"")</f>
        <v>2192</v>
      </c>
      <c r="H154" s="11">
        <f>IF(F154="","",F154/Config!$B$2*100)</f>
        <v>85.078125</v>
      </c>
      <c r="I154" s="11">
        <f>IF(G154="","",G154/Config!$B$3*100)</f>
        <v>76.111111111111114</v>
      </c>
      <c r="J154" s="5">
        <v>24</v>
      </c>
      <c r="K154" s="5" t="s">
        <v>919</v>
      </c>
      <c r="L154" s="5" t="s">
        <v>920</v>
      </c>
      <c r="M154" s="5"/>
    </row>
    <row r="155" spans="1:13" ht="15">
      <c r="A155" s="5" t="str">
        <f t="shared" si="2"/>
        <v>완료</v>
      </c>
      <c r="B155" s="5" t="s">
        <v>429</v>
      </c>
      <c r="C155" s="5" t="s">
        <v>429</v>
      </c>
      <c r="D155" s="5" t="s">
        <v>430</v>
      </c>
      <c r="E155" s="5" t="s">
        <v>335</v>
      </c>
      <c r="F155" s="8">
        <f>IFERROR(AVERAGEIF(Station_Visual_Nodes!$D:$D,B155,Station_Visual_Nodes!$I:$I),"")</f>
        <v>3528</v>
      </c>
      <c r="G155" s="8">
        <f>IFERROR(AVERAGEIF(Station_Visual_Nodes!$D:$D,B155,Station_Visual_Nodes!$J:$J),"")</f>
        <v>1824</v>
      </c>
      <c r="H155" s="11">
        <f>IF(F155="","",F155/Config!$B$2*100)</f>
        <v>68.90625</v>
      </c>
      <c r="I155" s="11">
        <f>IF(G155="","",G155/Config!$B$3*100)</f>
        <v>63.333333333333329</v>
      </c>
      <c r="J155" s="5">
        <v>24</v>
      </c>
      <c r="K155" s="5" t="s">
        <v>919</v>
      </c>
      <c r="L155" s="5" t="s">
        <v>920</v>
      </c>
      <c r="M155" s="5"/>
    </row>
    <row r="156" spans="1:13" ht="15">
      <c r="A156" s="5" t="str">
        <f t="shared" si="2"/>
        <v>완료</v>
      </c>
      <c r="B156" s="5" t="s">
        <v>432</v>
      </c>
      <c r="C156" s="5" t="s">
        <v>432</v>
      </c>
      <c r="D156" s="5" t="s">
        <v>433</v>
      </c>
      <c r="E156" s="5" t="s">
        <v>335</v>
      </c>
      <c r="F156" s="8">
        <f>IFERROR(AVERAGEIF(Station_Visual_Nodes!$D:$D,B156,Station_Visual_Nodes!$I:$I),"")</f>
        <v>3584</v>
      </c>
      <c r="G156" s="8">
        <f>IFERROR(AVERAGEIF(Station_Visual_Nodes!$D:$D,B156,Station_Visual_Nodes!$J:$J),"")</f>
        <v>1882</v>
      </c>
      <c r="H156" s="11">
        <f>IF(F156="","",F156/Config!$B$2*100)</f>
        <v>70</v>
      </c>
      <c r="I156" s="11">
        <f>IF(G156="","",G156/Config!$B$3*100)</f>
        <v>65.347222222222229</v>
      </c>
      <c r="J156" s="5">
        <v>24</v>
      </c>
      <c r="K156" s="5" t="s">
        <v>919</v>
      </c>
      <c r="L156" s="5" t="s">
        <v>920</v>
      </c>
      <c r="M156" s="5"/>
    </row>
    <row r="157" spans="1:13" ht="15">
      <c r="A157" s="5" t="str">
        <f t="shared" si="2"/>
        <v>완료</v>
      </c>
      <c r="B157" s="5" t="s">
        <v>434</v>
      </c>
      <c r="C157" s="5" t="s">
        <v>434</v>
      </c>
      <c r="D157" s="5" t="s">
        <v>435</v>
      </c>
      <c r="E157" s="5" t="s">
        <v>335</v>
      </c>
      <c r="F157" s="8">
        <f>IFERROR(AVERAGEIF(Station_Visual_Nodes!$D:$D,B157,Station_Visual_Nodes!$I:$I),"")</f>
        <v>3640</v>
      </c>
      <c r="G157" s="8">
        <f>IFERROR(AVERAGEIF(Station_Visual_Nodes!$D:$D,B157,Station_Visual_Nodes!$J:$J),"")</f>
        <v>1936</v>
      </c>
      <c r="H157" s="11">
        <f>IF(F157="","",F157/Config!$B$2*100)</f>
        <v>71.09375</v>
      </c>
      <c r="I157" s="11">
        <f>IF(G157="","",G157/Config!$B$3*100)</f>
        <v>67.222222222222229</v>
      </c>
      <c r="J157" s="5">
        <v>24</v>
      </c>
      <c r="K157" s="5" t="s">
        <v>919</v>
      </c>
      <c r="L157" s="5" t="s">
        <v>920</v>
      </c>
      <c r="M157" s="5"/>
    </row>
    <row r="158" spans="1:13" ht="15">
      <c r="A158" s="5" t="str">
        <f t="shared" si="2"/>
        <v>완료</v>
      </c>
      <c r="B158" s="5" t="s">
        <v>436</v>
      </c>
      <c r="C158" s="5" t="s">
        <v>436</v>
      </c>
      <c r="D158" s="5" t="s">
        <v>437</v>
      </c>
      <c r="E158" s="5" t="s">
        <v>335</v>
      </c>
      <c r="F158" s="8">
        <f>IFERROR(AVERAGEIF(Station_Visual_Nodes!$D:$D,B158,Station_Visual_Nodes!$I:$I),"")</f>
        <v>3760</v>
      </c>
      <c r="G158" s="8">
        <f>IFERROR(AVERAGEIF(Station_Visual_Nodes!$D:$D,B158,Station_Visual_Nodes!$J:$J),"")</f>
        <v>2056</v>
      </c>
      <c r="H158" s="11">
        <f>IF(F158="","",F158/Config!$B$2*100)</f>
        <v>73.4375</v>
      </c>
      <c r="I158" s="11">
        <f>IF(G158="","",G158/Config!$B$3*100)</f>
        <v>71.388888888888886</v>
      </c>
      <c r="J158" s="5">
        <v>24</v>
      </c>
      <c r="K158" s="5" t="s">
        <v>919</v>
      </c>
      <c r="L158" s="5" t="s">
        <v>920</v>
      </c>
      <c r="M158" s="5"/>
    </row>
    <row r="159" spans="1:13" ht="15">
      <c r="A159" s="5" t="str">
        <f t="shared" si="2"/>
        <v>완료</v>
      </c>
      <c r="B159" s="5" t="s">
        <v>438</v>
      </c>
      <c r="C159" s="5" t="s">
        <v>438</v>
      </c>
      <c r="D159" s="5" t="s">
        <v>439</v>
      </c>
      <c r="E159" s="5" t="s">
        <v>335</v>
      </c>
      <c r="F159" s="8">
        <f>IFERROR(AVERAGEIF(Station_Visual_Nodes!$D:$D,B159,Station_Visual_Nodes!$I:$I),"")</f>
        <v>3824</v>
      </c>
      <c r="G159" s="8">
        <f>IFERROR(AVERAGEIF(Station_Visual_Nodes!$D:$D,B159,Station_Visual_Nodes!$J:$J),"")</f>
        <v>2120</v>
      </c>
      <c r="H159" s="11">
        <f>IF(F159="","",F159/Config!$B$2*100)</f>
        <v>74.6875</v>
      </c>
      <c r="I159" s="11">
        <f>IF(G159="","",G159/Config!$B$3*100)</f>
        <v>73.611111111111114</v>
      </c>
      <c r="J159" s="5">
        <v>24</v>
      </c>
      <c r="K159" s="5" t="s">
        <v>919</v>
      </c>
      <c r="L159" s="5" t="s">
        <v>920</v>
      </c>
      <c r="M159" s="5"/>
    </row>
    <row r="160" spans="1:13" ht="15">
      <c r="A160" s="5" t="str">
        <f t="shared" si="2"/>
        <v>완료</v>
      </c>
      <c r="B160" s="5" t="s">
        <v>440</v>
      </c>
      <c r="C160" s="5" t="s">
        <v>440</v>
      </c>
      <c r="D160" s="5" t="s">
        <v>441</v>
      </c>
      <c r="E160" s="5" t="s">
        <v>335</v>
      </c>
      <c r="F160" s="8">
        <f>IFERROR(AVERAGEIF(Station_Visual_Nodes!$D:$D,B160,Station_Visual_Nodes!$I:$I),"")</f>
        <v>3896</v>
      </c>
      <c r="G160" s="8">
        <f>IFERROR(AVERAGEIF(Station_Visual_Nodes!$D:$D,B160,Station_Visual_Nodes!$J:$J),"")</f>
        <v>2196</v>
      </c>
      <c r="H160" s="11">
        <f>IF(F160="","",F160/Config!$B$2*100)</f>
        <v>76.09375</v>
      </c>
      <c r="I160" s="11">
        <f>IF(G160="","",G160/Config!$B$3*100)</f>
        <v>76.25</v>
      </c>
      <c r="J160" s="5">
        <v>24</v>
      </c>
      <c r="K160" s="5" t="s">
        <v>919</v>
      </c>
      <c r="L160" s="5" t="s">
        <v>920</v>
      </c>
      <c r="M160" s="5"/>
    </row>
    <row r="161" spans="1:13" ht="15">
      <c r="A161" s="5" t="str">
        <f t="shared" si="2"/>
        <v>완료</v>
      </c>
      <c r="B161" s="5" t="s">
        <v>442</v>
      </c>
      <c r="C161" s="5" t="s">
        <v>442</v>
      </c>
      <c r="D161" s="5" t="s">
        <v>443</v>
      </c>
      <c r="E161" s="5" t="s">
        <v>444</v>
      </c>
      <c r="F161" s="8">
        <f>IFERROR(AVERAGEIF(Station_Visual_Nodes!$D:$D,B161,Station_Visual_Nodes!$I:$I),"")</f>
        <v>1296</v>
      </c>
      <c r="G161" s="8">
        <f>IFERROR(AVERAGEIF(Station_Visual_Nodes!$D:$D,B161,Station_Visual_Nodes!$J:$J),"")</f>
        <v>676</v>
      </c>
      <c r="H161" s="11">
        <f>IF(F161="","",F161/Config!$B$2*100)</f>
        <v>25.3125</v>
      </c>
      <c r="I161" s="11">
        <f>IF(G161="","",G161/Config!$B$3*100)</f>
        <v>23.472222222222221</v>
      </c>
      <c r="J161" s="5">
        <v>24</v>
      </c>
      <c r="K161" s="5" t="s">
        <v>919</v>
      </c>
      <c r="L161" s="5" t="s">
        <v>920</v>
      </c>
      <c r="M161" s="5"/>
    </row>
    <row r="162" spans="1:13" ht="15">
      <c r="A162" s="5" t="str">
        <f t="shared" si="2"/>
        <v>완료</v>
      </c>
      <c r="B162" s="5" t="s">
        <v>446</v>
      </c>
      <c r="C162" s="5" t="s">
        <v>446</v>
      </c>
      <c r="D162" s="5" t="s">
        <v>447</v>
      </c>
      <c r="E162" s="5" t="s">
        <v>444</v>
      </c>
      <c r="F162" s="8">
        <f>IFERROR(AVERAGEIF(Station_Visual_Nodes!$D:$D,B162,Station_Visual_Nodes!$I:$I),"")</f>
        <v>1384</v>
      </c>
      <c r="G162" s="8">
        <f>IFERROR(AVERAGEIF(Station_Visual_Nodes!$D:$D,B162,Station_Visual_Nodes!$J:$J),"")</f>
        <v>580</v>
      </c>
      <c r="H162" s="11">
        <f>IF(F162="","",F162/Config!$B$2*100)</f>
        <v>27.03125</v>
      </c>
      <c r="I162" s="11">
        <f>IF(G162="","",G162/Config!$B$3*100)</f>
        <v>20.138888888888889</v>
      </c>
      <c r="J162" s="5">
        <v>24</v>
      </c>
      <c r="K162" s="5" t="s">
        <v>919</v>
      </c>
      <c r="L162" s="5" t="s">
        <v>920</v>
      </c>
      <c r="M162" s="5"/>
    </row>
    <row r="163" spans="1:13" ht="15">
      <c r="A163" s="5" t="str">
        <f t="shared" si="2"/>
        <v>완료</v>
      </c>
      <c r="B163" s="5" t="s">
        <v>448</v>
      </c>
      <c r="C163" s="5" t="s">
        <v>448</v>
      </c>
      <c r="D163" s="5" t="s">
        <v>449</v>
      </c>
      <c r="E163" s="5" t="s">
        <v>444</v>
      </c>
      <c r="F163" s="8">
        <f>IFERROR(AVERAGEIF(Station_Visual_Nodes!$D:$D,B163,Station_Visual_Nodes!$I:$I),"")</f>
        <v>1378</v>
      </c>
      <c r="G163" s="8">
        <f>IFERROR(AVERAGEIF(Station_Visual_Nodes!$D:$D,B163,Station_Visual_Nodes!$J:$J),"")</f>
        <v>400</v>
      </c>
      <c r="H163" s="11">
        <f>IF(F163="","",F163/Config!$B$2*100)</f>
        <v>26.914062500000004</v>
      </c>
      <c r="I163" s="11">
        <f>IF(G163="","",G163/Config!$B$3*100)</f>
        <v>13.888888888888889</v>
      </c>
      <c r="J163" s="5">
        <v>24</v>
      </c>
      <c r="K163" s="5" t="s">
        <v>919</v>
      </c>
      <c r="L163" s="5" t="s">
        <v>920</v>
      </c>
      <c r="M163" s="5"/>
    </row>
    <row r="164" spans="1:13" ht="15">
      <c r="A164" s="5" t="str">
        <f t="shared" si="2"/>
        <v>완료</v>
      </c>
      <c r="B164" s="5" t="s">
        <v>450</v>
      </c>
      <c r="C164" s="5" t="s">
        <v>450</v>
      </c>
      <c r="D164" s="5" t="s">
        <v>451</v>
      </c>
      <c r="E164" s="5" t="s">
        <v>444</v>
      </c>
      <c r="F164" s="8">
        <f>IFERROR(AVERAGEIF(Station_Visual_Nodes!$D:$D,B164,Station_Visual_Nodes!$I:$I),"")</f>
        <v>1296</v>
      </c>
      <c r="G164" s="8">
        <f>IFERROR(AVERAGEIF(Station_Visual_Nodes!$D:$D,B164,Station_Visual_Nodes!$J:$J),"")</f>
        <v>584</v>
      </c>
      <c r="H164" s="11">
        <f>IF(F164="","",F164/Config!$B$2*100)</f>
        <v>25.3125</v>
      </c>
      <c r="I164" s="11">
        <f>IF(G164="","",G164/Config!$B$3*100)</f>
        <v>20.277777777777779</v>
      </c>
      <c r="J164" s="5">
        <v>24</v>
      </c>
      <c r="K164" s="5" t="s">
        <v>919</v>
      </c>
      <c r="L164" s="5" t="s">
        <v>920</v>
      </c>
      <c r="M164" s="5"/>
    </row>
    <row r="165" spans="1:13" ht="15">
      <c r="A165" s="5" t="str">
        <f t="shared" si="2"/>
        <v>완료</v>
      </c>
      <c r="B165" s="5" t="s">
        <v>452</v>
      </c>
      <c r="C165" s="5" t="s">
        <v>452</v>
      </c>
      <c r="D165" s="5" t="s">
        <v>453</v>
      </c>
      <c r="E165" s="5" t="s">
        <v>444</v>
      </c>
      <c r="F165" s="8">
        <f>IFERROR(AVERAGEIF(Station_Visual_Nodes!$D:$D,B165,Station_Visual_Nodes!$I:$I),"")</f>
        <v>1296</v>
      </c>
      <c r="G165" s="8">
        <f>IFERROR(AVERAGEIF(Station_Visual_Nodes!$D:$D,B165,Station_Visual_Nodes!$J:$J),"")</f>
        <v>780</v>
      </c>
      <c r="H165" s="11">
        <f>IF(F165="","",F165/Config!$B$2*100)</f>
        <v>25.3125</v>
      </c>
      <c r="I165" s="11">
        <f>IF(G165="","",G165/Config!$B$3*100)</f>
        <v>27.083333333333332</v>
      </c>
      <c r="J165" s="5">
        <v>24</v>
      </c>
      <c r="K165" s="5" t="s">
        <v>919</v>
      </c>
      <c r="L165" s="5" t="s">
        <v>920</v>
      </c>
      <c r="M165" s="5"/>
    </row>
    <row r="166" spans="1:13" ht="15">
      <c r="A166" s="5" t="str">
        <f t="shared" si="2"/>
        <v>완료</v>
      </c>
      <c r="B166" s="5" t="s">
        <v>454</v>
      </c>
      <c r="C166" s="5" t="s">
        <v>454</v>
      </c>
      <c r="D166" s="5" t="s">
        <v>455</v>
      </c>
      <c r="E166" s="5" t="s">
        <v>444</v>
      </c>
      <c r="F166" s="8">
        <f>IFERROR(AVERAGEIF(Station_Visual_Nodes!$D:$D,B166,Station_Visual_Nodes!$I:$I),"")</f>
        <v>1296</v>
      </c>
      <c r="G166" s="8">
        <f>IFERROR(AVERAGEIF(Station_Visual_Nodes!$D:$D,B166,Station_Visual_Nodes!$J:$J),"")</f>
        <v>884</v>
      </c>
      <c r="H166" s="11">
        <f>IF(F166="","",F166/Config!$B$2*100)</f>
        <v>25.3125</v>
      </c>
      <c r="I166" s="11">
        <f>IF(G166="","",G166/Config!$B$3*100)</f>
        <v>30.694444444444446</v>
      </c>
      <c r="J166" s="5">
        <v>24</v>
      </c>
      <c r="K166" s="5" t="s">
        <v>919</v>
      </c>
      <c r="L166" s="5" t="s">
        <v>920</v>
      </c>
      <c r="M166" s="5"/>
    </row>
    <row r="167" spans="1:13" ht="15">
      <c r="A167" s="5" t="str">
        <f t="shared" si="2"/>
        <v>완료</v>
      </c>
      <c r="B167" s="5" t="s">
        <v>456</v>
      </c>
      <c r="C167" s="5" t="s">
        <v>456</v>
      </c>
      <c r="D167" s="5" t="s">
        <v>457</v>
      </c>
      <c r="E167" s="5" t="s">
        <v>444</v>
      </c>
      <c r="F167" s="8">
        <f>IFERROR(AVERAGEIF(Station_Visual_Nodes!$D:$D,B167,Station_Visual_Nodes!$I:$I),"")</f>
        <v>1296</v>
      </c>
      <c r="G167" s="8">
        <f>IFERROR(AVERAGEIF(Station_Visual_Nodes!$D:$D,B167,Station_Visual_Nodes!$J:$J),"")</f>
        <v>1032</v>
      </c>
      <c r="H167" s="11">
        <f>IF(F167="","",F167/Config!$B$2*100)</f>
        <v>25.3125</v>
      </c>
      <c r="I167" s="11">
        <f>IF(G167="","",G167/Config!$B$3*100)</f>
        <v>35.833333333333336</v>
      </c>
      <c r="J167" s="5">
        <v>24</v>
      </c>
      <c r="K167" s="5" t="s">
        <v>919</v>
      </c>
      <c r="L167" s="5" t="s">
        <v>920</v>
      </c>
      <c r="M167" s="5"/>
    </row>
    <row r="168" spans="1:13" ht="15">
      <c r="A168" s="5" t="str">
        <f t="shared" si="2"/>
        <v>완료</v>
      </c>
      <c r="B168" s="5" t="s">
        <v>458</v>
      </c>
      <c r="C168" s="5" t="s">
        <v>458</v>
      </c>
      <c r="D168" s="5" t="s">
        <v>459</v>
      </c>
      <c r="E168" s="5" t="s">
        <v>444</v>
      </c>
      <c r="F168" s="8">
        <f>IFERROR(AVERAGEIF(Station_Visual_Nodes!$D:$D,B168,Station_Visual_Nodes!$I:$I),"")</f>
        <v>1296</v>
      </c>
      <c r="G168" s="8">
        <f>IFERROR(AVERAGEIF(Station_Visual_Nodes!$D:$D,B168,Station_Visual_Nodes!$J:$J),"")</f>
        <v>1120</v>
      </c>
      <c r="H168" s="11">
        <f>IF(F168="","",F168/Config!$B$2*100)</f>
        <v>25.3125</v>
      </c>
      <c r="I168" s="11">
        <f>IF(G168="","",G168/Config!$B$3*100)</f>
        <v>38.888888888888893</v>
      </c>
      <c r="J168" s="5">
        <v>24</v>
      </c>
      <c r="K168" s="5" t="s">
        <v>919</v>
      </c>
      <c r="L168" s="5" t="s">
        <v>920</v>
      </c>
      <c r="M168" s="5"/>
    </row>
    <row r="169" spans="1:13" ht="15">
      <c r="A169" s="5" t="str">
        <f t="shared" si="2"/>
        <v>완료</v>
      </c>
      <c r="B169" s="5" t="s">
        <v>461</v>
      </c>
      <c r="C169" s="5" t="s">
        <v>461</v>
      </c>
      <c r="D169" s="5" t="s">
        <v>462</v>
      </c>
      <c r="E169" s="5" t="s">
        <v>444</v>
      </c>
      <c r="F169" s="8">
        <f>IFERROR(AVERAGEIF(Station_Visual_Nodes!$D:$D,B169,Station_Visual_Nodes!$I:$I),"")</f>
        <v>1296</v>
      </c>
      <c r="G169" s="8">
        <f>IFERROR(AVERAGEIF(Station_Visual_Nodes!$D:$D,B169,Station_Visual_Nodes!$J:$J),"")</f>
        <v>1200</v>
      </c>
      <c r="H169" s="11">
        <f>IF(F169="","",F169/Config!$B$2*100)</f>
        <v>25.3125</v>
      </c>
      <c r="I169" s="11">
        <f>IF(G169="","",G169/Config!$B$3*100)</f>
        <v>41.666666666666671</v>
      </c>
      <c r="J169" s="5">
        <v>24</v>
      </c>
      <c r="K169" s="5" t="s">
        <v>919</v>
      </c>
      <c r="L169" s="5" t="s">
        <v>920</v>
      </c>
      <c r="M169" s="5"/>
    </row>
    <row r="170" spans="1:13" ht="15">
      <c r="A170" s="5" t="str">
        <f t="shared" si="2"/>
        <v>완료</v>
      </c>
      <c r="B170" s="5" t="s">
        <v>463</v>
      </c>
      <c r="C170" s="5" t="s">
        <v>463</v>
      </c>
      <c r="D170" s="5" t="s">
        <v>464</v>
      </c>
      <c r="E170" s="5" t="s">
        <v>444</v>
      </c>
      <c r="F170" s="8">
        <f>IFERROR(AVERAGEIF(Station_Visual_Nodes!$D:$D,B170,Station_Visual_Nodes!$I:$I),"")</f>
        <v>1356</v>
      </c>
      <c r="G170" s="8">
        <f>IFERROR(AVERAGEIF(Station_Visual_Nodes!$D:$D,B170,Station_Visual_Nodes!$J:$J),"")</f>
        <v>1264</v>
      </c>
      <c r="H170" s="11">
        <f>IF(F170="","",F170/Config!$B$2*100)</f>
        <v>26.484375</v>
      </c>
      <c r="I170" s="11">
        <f>IF(G170="","",G170/Config!$B$3*100)</f>
        <v>43.888888888888886</v>
      </c>
      <c r="J170" s="5">
        <v>24</v>
      </c>
      <c r="K170" s="5" t="s">
        <v>919</v>
      </c>
      <c r="L170" s="5" t="s">
        <v>920</v>
      </c>
      <c r="M170" s="5"/>
    </row>
    <row r="171" spans="1:13" ht="15">
      <c r="A171" s="5" t="str">
        <f t="shared" si="2"/>
        <v>완료</v>
      </c>
      <c r="B171" s="5" t="s">
        <v>465</v>
      </c>
      <c r="C171" s="5" t="s">
        <v>465</v>
      </c>
      <c r="D171" s="5" t="s">
        <v>466</v>
      </c>
      <c r="E171" s="5" t="s">
        <v>444</v>
      </c>
      <c r="F171" s="8">
        <f>IFERROR(AVERAGEIF(Station_Visual_Nodes!$D:$D,B171,Station_Visual_Nodes!$I:$I),"")</f>
        <v>1488</v>
      </c>
      <c r="G171" s="8">
        <f>IFERROR(AVERAGEIF(Station_Visual_Nodes!$D:$D,B171,Station_Visual_Nodes!$J:$J),"")</f>
        <v>1396</v>
      </c>
      <c r="H171" s="11">
        <f>IF(F171="","",F171/Config!$B$2*100)</f>
        <v>29.062500000000004</v>
      </c>
      <c r="I171" s="11">
        <f>IF(G171="","",G171/Config!$B$3*100)</f>
        <v>48.472222222222221</v>
      </c>
      <c r="J171" s="5">
        <v>24</v>
      </c>
      <c r="K171" s="5" t="s">
        <v>919</v>
      </c>
      <c r="L171" s="5" t="s">
        <v>920</v>
      </c>
      <c r="M171" s="5"/>
    </row>
    <row r="172" spans="1:13" ht="15">
      <c r="A172" s="5" t="str">
        <f t="shared" si="2"/>
        <v>완료</v>
      </c>
      <c r="B172" s="5" t="s">
        <v>467</v>
      </c>
      <c r="C172" s="5" t="s">
        <v>467</v>
      </c>
      <c r="D172" s="5" t="s">
        <v>468</v>
      </c>
      <c r="E172" s="5" t="s">
        <v>444</v>
      </c>
      <c r="F172" s="8">
        <f>IFERROR(AVERAGEIF(Station_Visual_Nodes!$D:$D,B172,Station_Visual_Nodes!$I:$I),"")</f>
        <v>1572</v>
      </c>
      <c r="G172" s="8">
        <f>IFERROR(AVERAGEIF(Station_Visual_Nodes!$D:$D,B172,Station_Visual_Nodes!$J:$J),"")</f>
        <v>1476</v>
      </c>
      <c r="H172" s="11">
        <f>IF(F172="","",F172/Config!$B$2*100)</f>
        <v>30.703124999999996</v>
      </c>
      <c r="I172" s="11">
        <f>IF(G172="","",G172/Config!$B$3*100)</f>
        <v>51.249999999999993</v>
      </c>
      <c r="J172" s="5">
        <v>24</v>
      </c>
      <c r="K172" s="5" t="s">
        <v>919</v>
      </c>
      <c r="L172" s="5" t="s">
        <v>920</v>
      </c>
      <c r="M172" s="5"/>
    </row>
    <row r="173" spans="1:13" ht="15">
      <c r="A173" s="5" t="str">
        <f t="shared" si="2"/>
        <v>완료</v>
      </c>
      <c r="B173" s="5" t="s">
        <v>469</v>
      </c>
      <c r="C173" s="5" t="s">
        <v>469</v>
      </c>
      <c r="D173" s="5" t="s">
        <v>470</v>
      </c>
      <c r="E173" s="5" t="s">
        <v>444</v>
      </c>
      <c r="F173" s="8">
        <f>IFERROR(AVERAGEIF(Station_Visual_Nodes!$D:$D,B173,Station_Visual_Nodes!$I:$I),"")</f>
        <v>1656</v>
      </c>
      <c r="G173" s="8">
        <f>IFERROR(AVERAGEIF(Station_Visual_Nodes!$D:$D,B173,Station_Visual_Nodes!$J:$J),"")</f>
        <v>1476</v>
      </c>
      <c r="H173" s="11">
        <f>IF(F173="","",F173/Config!$B$2*100)</f>
        <v>32.34375</v>
      </c>
      <c r="I173" s="11">
        <f>IF(G173="","",G173/Config!$B$3*100)</f>
        <v>51.249999999999993</v>
      </c>
      <c r="J173" s="5">
        <v>24</v>
      </c>
      <c r="K173" s="5" t="s">
        <v>919</v>
      </c>
      <c r="L173" s="5" t="s">
        <v>920</v>
      </c>
      <c r="M173" s="5"/>
    </row>
    <row r="174" spans="1:13" ht="15">
      <c r="A174" s="5" t="str">
        <f t="shared" si="2"/>
        <v>완료</v>
      </c>
      <c r="B174" s="5" t="s">
        <v>471</v>
      </c>
      <c r="C174" s="5" t="s">
        <v>471</v>
      </c>
      <c r="D174" s="5" t="s">
        <v>472</v>
      </c>
      <c r="E174" s="5" t="s">
        <v>444</v>
      </c>
      <c r="F174" s="8">
        <f>IFERROR(AVERAGEIF(Station_Visual_Nodes!$D:$D,B174,Station_Visual_Nodes!$I:$I),"")</f>
        <v>1832</v>
      </c>
      <c r="G174" s="8">
        <f>IFERROR(AVERAGEIF(Station_Visual_Nodes!$D:$D,B174,Station_Visual_Nodes!$J:$J),"")</f>
        <v>1476</v>
      </c>
      <c r="H174" s="11">
        <f>IF(F174="","",F174/Config!$B$2*100)</f>
        <v>35.78125</v>
      </c>
      <c r="I174" s="11">
        <f>IF(G174="","",G174/Config!$B$3*100)</f>
        <v>51.249999999999993</v>
      </c>
      <c r="J174" s="5">
        <v>24</v>
      </c>
      <c r="K174" s="5" t="s">
        <v>919</v>
      </c>
      <c r="L174" s="5" t="s">
        <v>920</v>
      </c>
      <c r="M174" s="5"/>
    </row>
    <row r="175" spans="1:13" ht="15">
      <c r="A175" s="5" t="str">
        <f t="shared" si="2"/>
        <v>완료</v>
      </c>
      <c r="B175" s="5" t="s">
        <v>473</v>
      </c>
      <c r="C175" s="5" t="s">
        <v>473</v>
      </c>
      <c r="D175" s="5" t="s">
        <v>474</v>
      </c>
      <c r="E175" s="5" t="s">
        <v>444</v>
      </c>
      <c r="F175" s="8">
        <f>IFERROR(AVERAGEIF(Station_Visual_Nodes!$D:$D,B175,Station_Visual_Nodes!$I:$I),"")</f>
        <v>2048</v>
      </c>
      <c r="G175" s="8">
        <f>IFERROR(AVERAGEIF(Station_Visual_Nodes!$D:$D,B175,Station_Visual_Nodes!$J:$J),"")</f>
        <v>1476</v>
      </c>
      <c r="H175" s="11">
        <f>IF(F175="","",F175/Config!$B$2*100)</f>
        <v>40</v>
      </c>
      <c r="I175" s="11">
        <f>IF(G175="","",G175/Config!$B$3*100)</f>
        <v>51.249999999999993</v>
      </c>
      <c r="J175" s="5">
        <v>24</v>
      </c>
      <c r="K175" s="5" t="s">
        <v>919</v>
      </c>
      <c r="L175" s="5" t="s">
        <v>920</v>
      </c>
      <c r="M175" s="5"/>
    </row>
    <row r="176" spans="1:13" ht="15">
      <c r="A176" s="5" t="str">
        <f t="shared" si="2"/>
        <v>완료</v>
      </c>
      <c r="B176" s="5" t="s">
        <v>475</v>
      </c>
      <c r="C176" s="5" t="s">
        <v>475</v>
      </c>
      <c r="D176" s="5" t="s">
        <v>476</v>
      </c>
      <c r="E176" s="5" t="s">
        <v>444</v>
      </c>
      <c r="F176" s="8">
        <f>IFERROR(AVERAGEIF(Station_Visual_Nodes!$D:$D,B176,Station_Visual_Nodes!$I:$I),"")</f>
        <v>2156</v>
      </c>
      <c r="G176" s="8">
        <f>IFERROR(AVERAGEIF(Station_Visual_Nodes!$D:$D,B176,Station_Visual_Nodes!$J:$J),"")</f>
        <v>1476</v>
      </c>
      <c r="H176" s="11">
        <f>IF(F176="","",F176/Config!$B$2*100)</f>
        <v>42.109375</v>
      </c>
      <c r="I176" s="11">
        <f>IF(G176="","",G176/Config!$B$3*100)</f>
        <v>51.249999999999993</v>
      </c>
      <c r="J176" s="5">
        <v>24</v>
      </c>
      <c r="K176" s="5" t="s">
        <v>919</v>
      </c>
      <c r="L176" s="5" t="s">
        <v>920</v>
      </c>
      <c r="M176" s="5"/>
    </row>
    <row r="177" spans="1:13" ht="15">
      <c r="A177" s="5" t="str">
        <f t="shared" si="2"/>
        <v>완료</v>
      </c>
      <c r="B177" s="5" t="s">
        <v>477</v>
      </c>
      <c r="C177" s="5" t="s">
        <v>477</v>
      </c>
      <c r="D177" s="5" t="s">
        <v>478</v>
      </c>
      <c r="E177" s="5" t="s">
        <v>444</v>
      </c>
      <c r="F177" s="8">
        <f>IFERROR(AVERAGEIF(Station_Visual_Nodes!$D:$D,B177,Station_Visual_Nodes!$I:$I),"")</f>
        <v>2264</v>
      </c>
      <c r="G177" s="8">
        <f>IFERROR(AVERAGEIF(Station_Visual_Nodes!$D:$D,B177,Station_Visual_Nodes!$J:$J),"")</f>
        <v>1476</v>
      </c>
      <c r="H177" s="11">
        <f>IF(F177="","",F177/Config!$B$2*100)</f>
        <v>44.21875</v>
      </c>
      <c r="I177" s="11">
        <f>IF(G177="","",G177/Config!$B$3*100)</f>
        <v>51.249999999999993</v>
      </c>
      <c r="J177" s="5">
        <v>24</v>
      </c>
      <c r="K177" s="5" t="s">
        <v>919</v>
      </c>
      <c r="L177" s="5" t="s">
        <v>920</v>
      </c>
      <c r="M177" s="5"/>
    </row>
    <row r="178" spans="1:13" ht="15">
      <c r="A178" s="5" t="str">
        <f t="shared" si="2"/>
        <v>완료</v>
      </c>
      <c r="B178" s="5" t="s">
        <v>479</v>
      </c>
      <c r="C178" s="5" t="s">
        <v>479</v>
      </c>
      <c r="D178" s="5" t="s">
        <v>480</v>
      </c>
      <c r="E178" s="5" t="s">
        <v>444</v>
      </c>
      <c r="F178" s="8">
        <f>IFERROR(AVERAGEIF(Station_Visual_Nodes!$D:$D,B178,Station_Visual_Nodes!$I:$I),"")</f>
        <v>2372</v>
      </c>
      <c r="G178" s="8">
        <f>IFERROR(AVERAGEIF(Station_Visual_Nodes!$D:$D,B178,Station_Visual_Nodes!$J:$J),"")</f>
        <v>1476</v>
      </c>
      <c r="H178" s="11">
        <f>IF(F178="","",F178/Config!$B$2*100)</f>
        <v>46.328125</v>
      </c>
      <c r="I178" s="11">
        <f>IF(G178="","",G178/Config!$B$3*100)</f>
        <v>51.249999999999993</v>
      </c>
      <c r="J178" s="5">
        <v>24</v>
      </c>
      <c r="K178" s="5" t="s">
        <v>919</v>
      </c>
      <c r="L178" s="5" t="s">
        <v>920</v>
      </c>
      <c r="M178" s="5"/>
    </row>
    <row r="179" spans="1:13" ht="15">
      <c r="A179" s="5" t="str">
        <f t="shared" si="2"/>
        <v>완료</v>
      </c>
      <c r="B179" s="5" t="s">
        <v>481</v>
      </c>
      <c r="C179" s="5" t="s">
        <v>481</v>
      </c>
      <c r="D179" s="5" t="s">
        <v>482</v>
      </c>
      <c r="E179" s="5" t="s">
        <v>444</v>
      </c>
      <c r="F179" s="8">
        <f>IFERROR(AVERAGEIF(Station_Visual_Nodes!$D:$D,B179,Station_Visual_Nodes!$I:$I),"")</f>
        <v>2528</v>
      </c>
      <c r="G179" s="8">
        <f>IFERROR(AVERAGEIF(Station_Visual_Nodes!$D:$D,B179,Station_Visual_Nodes!$J:$J),"")</f>
        <v>872</v>
      </c>
      <c r="H179" s="11">
        <f>IF(F179="","",F179/Config!$B$2*100)</f>
        <v>49.375</v>
      </c>
      <c r="I179" s="11">
        <f>IF(G179="","",G179/Config!$B$3*100)</f>
        <v>30.277777777777775</v>
      </c>
      <c r="J179" s="5">
        <v>24</v>
      </c>
      <c r="K179" s="5" t="s">
        <v>919</v>
      </c>
      <c r="L179" s="5" t="s">
        <v>920</v>
      </c>
      <c r="M179" s="5"/>
    </row>
    <row r="180" spans="1:13" ht="15">
      <c r="A180" s="5" t="str">
        <f t="shared" si="2"/>
        <v>완료</v>
      </c>
      <c r="B180" s="5" t="s">
        <v>483</v>
      </c>
      <c r="C180" s="5" t="s">
        <v>483</v>
      </c>
      <c r="D180" s="5" t="s">
        <v>484</v>
      </c>
      <c r="E180" s="5" t="s">
        <v>444</v>
      </c>
      <c r="F180" s="8">
        <f>IFERROR(AVERAGEIF(Station_Visual_Nodes!$D:$D,B180,Station_Visual_Nodes!$I:$I),"")</f>
        <v>2528</v>
      </c>
      <c r="G180" s="8">
        <f>IFERROR(AVERAGEIF(Station_Visual_Nodes!$D:$D,B180,Station_Visual_Nodes!$J:$J),"")</f>
        <v>768</v>
      </c>
      <c r="H180" s="11">
        <f>IF(F180="","",F180/Config!$B$2*100)</f>
        <v>49.375</v>
      </c>
      <c r="I180" s="11">
        <f>IF(G180="","",G180/Config!$B$3*100)</f>
        <v>26.666666666666668</v>
      </c>
      <c r="J180" s="5">
        <v>24</v>
      </c>
      <c r="K180" s="5" t="s">
        <v>919</v>
      </c>
      <c r="L180" s="5" t="s">
        <v>920</v>
      </c>
      <c r="M180" s="5"/>
    </row>
    <row r="181" spans="1:13" ht="15">
      <c r="A181" s="5" t="str">
        <f t="shared" si="2"/>
        <v>완료</v>
      </c>
      <c r="B181" s="5" t="s">
        <v>485</v>
      </c>
      <c r="C181" s="5" t="s">
        <v>485</v>
      </c>
      <c r="D181" s="5" t="s">
        <v>486</v>
      </c>
      <c r="E181" s="5" t="s">
        <v>444</v>
      </c>
      <c r="F181" s="8">
        <f>IFERROR(AVERAGEIF(Station_Visual_Nodes!$D:$D,B181,Station_Visual_Nodes!$I:$I),"")</f>
        <v>2660</v>
      </c>
      <c r="G181" s="8">
        <f>IFERROR(AVERAGEIF(Station_Visual_Nodes!$D:$D,B181,Station_Visual_Nodes!$J:$J),"")</f>
        <v>768</v>
      </c>
      <c r="H181" s="11">
        <f>IF(F181="","",F181/Config!$B$2*100)</f>
        <v>51.953125</v>
      </c>
      <c r="I181" s="11">
        <f>IF(G181="","",G181/Config!$B$3*100)</f>
        <v>26.666666666666668</v>
      </c>
      <c r="J181" s="5">
        <v>24</v>
      </c>
      <c r="K181" s="5" t="s">
        <v>919</v>
      </c>
      <c r="L181" s="5" t="s">
        <v>920</v>
      </c>
      <c r="M181" s="5"/>
    </row>
    <row r="182" spans="1:13" ht="15">
      <c r="A182" s="5" t="str">
        <f t="shared" si="2"/>
        <v>완료</v>
      </c>
      <c r="B182" s="5" t="s">
        <v>488</v>
      </c>
      <c r="C182" s="5" t="s">
        <v>488</v>
      </c>
      <c r="D182" s="5" t="s">
        <v>489</v>
      </c>
      <c r="E182" s="5" t="s">
        <v>444</v>
      </c>
      <c r="F182" s="8">
        <f>IFERROR(AVERAGEIF(Station_Visual_Nodes!$D:$D,B182,Station_Visual_Nodes!$I:$I),"")</f>
        <v>2792</v>
      </c>
      <c r="G182" s="8">
        <f>IFERROR(AVERAGEIF(Station_Visual_Nodes!$D:$D,B182,Station_Visual_Nodes!$J:$J),"")</f>
        <v>768</v>
      </c>
      <c r="H182" s="11">
        <f>IF(F182="","",F182/Config!$B$2*100)</f>
        <v>54.53125</v>
      </c>
      <c r="I182" s="11">
        <f>IF(G182="","",G182/Config!$B$3*100)</f>
        <v>26.666666666666668</v>
      </c>
      <c r="J182" s="5">
        <v>24</v>
      </c>
      <c r="K182" s="5" t="s">
        <v>919</v>
      </c>
      <c r="L182" s="5" t="s">
        <v>920</v>
      </c>
      <c r="M182" s="5"/>
    </row>
    <row r="183" spans="1:13" ht="15">
      <c r="A183" s="5" t="str">
        <f t="shared" si="2"/>
        <v>완료</v>
      </c>
      <c r="B183" s="5" t="s">
        <v>491</v>
      </c>
      <c r="C183" s="5" t="s">
        <v>491</v>
      </c>
      <c r="D183" s="5" t="s">
        <v>492</v>
      </c>
      <c r="E183" s="5" t="s">
        <v>444</v>
      </c>
      <c r="F183" s="8">
        <f>IFERROR(AVERAGEIF(Station_Visual_Nodes!$D:$D,B183,Station_Visual_Nodes!$I:$I),"")</f>
        <v>2924</v>
      </c>
      <c r="G183" s="8">
        <f>IFERROR(AVERAGEIF(Station_Visual_Nodes!$D:$D,B183,Station_Visual_Nodes!$J:$J),"")</f>
        <v>768</v>
      </c>
      <c r="H183" s="11">
        <f>IF(F183="","",F183/Config!$B$2*100)</f>
        <v>57.109374999999993</v>
      </c>
      <c r="I183" s="11">
        <f>IF(G183="","",G183/Config!$B$3*100)</f>
        <v>26.666666666666668</v>
      </c>
      <c r="J183" s="5">
        <v>24</v>
      </c>
      <c r="K183" s="5" t="s">
        <v>919</v>
      </c>
      <c r="L183" s="5" t="s">
        <v>920</v>
      </c>
      <c r="M183" s="5"/>
    </row>
    <row r="184" spans="1:13" ht="15">
      <c r="A184" s="5" t="str">
        <f t="shared" si="2"/>
        <v>완료</v>
      </c>
      <c r="B184" s="5" t="s">
        <v>493</v>
      </c>
      <c r="C184" s="5" t="s">
        <v>493</v>
      </c>
      <c r="D184" s="5" t="s">
        <v>494</v>
      </c>
      <c r="E184" s="5" t="s">
        <v>444</v>
      </c>
      <c r="F184" s="8">
        <f>IFERROR(AVERAGEIF(Station_Visual_Nodes!$D:$D,B184,Station_Visual_Nodes!$I:$I),"")</f>
        <v>3056</v>
      </c>
      <c r="G184" s="8">
        <f>IFERROR(AVERAGEIF(Station_Visual_Nodes!$D:$D,B184,Station_Visual_Nodes!$J:$J),"")</f>
        <v>768</v>
      </c>
      <c r="H184" s="11">
        <f>IF(F184="","",F184/Config!$B$2*100)</f>
        <v>59.687500000000007</v>
      </c>
      <c r="I184" s="11">
        <f>IF(G184="","",G184/Config!$B$3*100)</f>
        <v>26.666666666666668</v>
      </c>
      <c r="J184" s="5">
        <v>24</v>
      </c>
      <c r="K184" s="5" t="s">
        <v>919</v>
      </c>
      <c r="L184" s="5" t="s">
        <v>920</v>
      </c>
      <c r="M184" s="5"/>
    </row>
    <row r="185" spans="1:13" ht="15">
      <c r="A185" s="5" t="str">
        <f t="shared" si="2"/>
        <v>완료</v>
      </c>
      <c r="B185" s="5" t="s">
        <v>495</v>
      </c>
      <c r="C185" s="5" t="s">
        <v>495</v>
      </c>
      <c r="D185" s="5" t="s">
        <v>496</v>
      </c>
      <c r="E185" s="5" t="s">
        <v>444</v>
      </c>
      <c r="F185" s="8">
        <f>IFERROR(AVERAGEIF(Station_Visual_Nodes!$D:$D,B185,Station_Visual_Nodes!$I:$I),"")</f>
        <v>3188</v>
      </c>
      <c r="G185" s="8">
        <f>IFERROR(AVERAGEIF(Station_Visual_Nodes!$D:$D,B185,Station_Visual_Nodes!$J:$J),"")</f>
        <v>768</v>
      </c>
      <c r="H185" s="11">
        <f>IF(F185="","",F185/Config!$B$2*100)</f>
        <v>62.265625</v>
      </c>
      <c r="I185" s="11">
        <f>IF(G185="","",G185/Config!$B$3*100)</f>
        <v>26.666666666666668</v>
      </c>
      <c r="J185" s="5">
        <v>24</v>
      </c>
      <c r="K185" s="5" t="s">
        <v>919</v>
      </c>
      <c r="L185" s="5" t="s">
        <v>920</v>
      </c>
      <c r="M185" s="5"/>
    </row>
    <row r="186" spans="1:13" ht="15">
      <c r="A186" s="5" t="str">
        <f t="shared" si="2"/>
        <v>완료</v>
      </c>
      <c r="B186" s="5" t="s">
        <v>497</v>
      </c>
      <c r="C186" s="5" t="s">
        <v>497</v>
      </c>
      <c r="D186" s="5" t="s">
        <v>498</v>
      </c>
      <c r="E186" s="5" t="s">
        <v>444</v>
      </c>
      <c r="F186" s="8">
        <f>IFERROR(AVERAGEIF(Station_Visual_Nodes!$D:$D,B186,Station_Visual_Nodes!$I:$I),"")</f>
        <v>3324</v>
      </c>
      <c r="G186" s="8">
        <f>IFERROR(AVERAGEIF(Station_Visual_Nodes!$D:$D,B186,Station_Visual_Nodes!$J:$J),"")</f>
        <v>768</v>
      </c>
      <c r="H186" s="11">
        <f>IF(F186="","",F186/Config!$B$2*100)</f>
        <v>64.921875</v>
      </c>
      <c r="I186" s="11">
        <f>IF(G186="","",G186/Config!$B$3*100)</f>
        <v>26.666666666666668</v>
      </c>
      <c r="J186" s="5">
        <v>24</v>
      </c>
      <c r="K186" s="5" t="s">
        <v>919</v>
      </c>
      <c r="L186" s="5" t="s">
        <v>920</v>
      </c>
      <c r="M186" s="5"/>
    </row>
    <row r="187" spans="1:13" ht="15">
      <c r="A187" s="5" t="str">
        <f t="shared" si="2"/>
        <v>완료</v>
      </c>
      <c r="B187" s="5" t="s">
        <v>499</v>
      </c>
      <c r="C187" s="5" t="s">
        <v>499</v>
      </c>
      <c r="D187" s="5" t="s">
        <v>500</v>
      </c>
      <c r="E187" s="5" t="s">
        <v>501</v>
      </c>
      <c r="F187" s="8">
        <f>IFERROR(AVERAGEIF(Station_Visual_Nodes!$D:$D,B187,Station_Visual_Nodes!$I:$I),"")</f>
        <v>3464</v>
      </c>
      <c r="G187" s="8">
        <f>IFERROR(AVERAGEIF(Station_Visual_Nodes!$D:$D,B187,Station_Visual_Nodes!$J:$J),"")</f>
        <v>636</v>
      </c>
      <c r="H187" s="11">
        <f>IF(F187="","",F187/Config!$B$2*100)</f>
        <v>67.65625</v>
      </c>
      <c r="I187" s="11">
        <f>IF(G187="","",G187/Config!$B$3*100)</f>
        <v>22.083333333333332</v>
      </c>
      <c r="J187" s="5">
        <v>42</v>
      </c>
      <c r="K187" s="5" t="s">
        <v>919</v>
      </c>
      <c r="L187" s="5" t="s">
        <v>920</v>
      </c>
      <c r="M187" s="5"/>
    </row>
    <row r="188" spans="1:13" ht="15">
      <c r="A188" s="5" t="str">
        <f t="shared" si="2"/>
        <v>완료</v>
      </c>
      <c r="B188" s="5" t="s">
        <v>503</v>
      </c>
      <c r="C188" s="5" t="s">
        <v>503</v>
      </c>
      <c r="D188" s="5" t="s">
        <v>504</v>
      </c>
      <c r="E188" s="5" t="s">
        <v>444</v>
      </c>
      <c r="F188" s="8">
        <f>IFERROR(AVERAGEIF(Station_Visual_Nodes!$D:$D,B188,Station_Visual_Nodes!$I:$I),"")</f>
        <v>3664</v>
      </c>
      <c r="G188" s="8">
        <f>IFERROR(AVERAGEIF(Station_Visual_Nodes!$D:$D,B188,Station_Visual_Nodes!$J:$J),"")</f>
        <v>636</v>
      </c>
      <c r="H188" s="11">
        <f>IF(F188="","",F188/Config!$B$2*100)</f>
        <v>71.5625</v>
      </c>
      <c r="I188" s="11">
        <f>IF(G188="","",G188/Config!$B$3*100)</f>
        <v>22.083333333333332</v>
      </c>
      <c r="J188" s="5">
        <v>24</v>
      </c>
      <c r="K188" s="5" t="s">
        <v>919</v>
      </c>
      <c r="L188" s="5" t="s">
        <v>920</v>
      </c>
      <c r="M188" s="5"/>
    </row>
    <row r="189" spans="1:13" ht="15">
      <c r="A189" s="5" t="str">
        <f t="shared" si="2"/>
        <v>완료</v>
      </c>
      <c r="B189" s="5" t="s">
        <v>505</v>
      </c>
      <c r="C189" s="5" t="s">
        <v>505</v>
      </c>
      <c r="D189" s="5" t="s">
        <v>506</v>
      </c>
      <c r="E189" s="5" t="s">
        <v>444</v>
      </c>
      <c r="F189" s="8">
        <f>IFERROR(AVERAGEIF(Station_Visual_Nodes!$D:$D,B189,Station_Visual_Nodes!$I:$I),"")</f>
        <v>3664</v>
      </c>
      <c r="G189" s="8">
        <f>IFERROR(AVERAGEIF(Station_Visual_Nodes!$D:$D,B189,Station_Visual_Nodes!$J:$J),"")</f>
        <v>792</v>
      </c>
      <c r="H189" s="11">
        <f>IF(F189="","",F189/Config!$B$2*100)</f>
        <v>71.5625</v>
      </c>
      <c r="I189" s="11">
        <f>IF(G189="","",G189/Config!$B$3*100)</f>
        <v>27.500000000000004</v>
      </c>
      <c r="J189" s="5">
        <v>24</v>
      </c>
      <c r="K189" s="5" t="s">
        <v>919</v>
      </c>
      <c r="L189" s="5" t="s">
        <v>920</v>
      </c>
      <c r="M189" s="5"/>
    </row>
    <row r="190" spans="1:13" ht="15">
      <c r="A190" s="5" t="str">
        <f t="shared" si="2"/>
        <v>완료</v>
      </c>
      <c r="B190" s="5" t="s">
        <v>507</v>
      </c>
      <c r="C190" s="5" t="s">
        <v>507</v>
      </c>
      <c r="D190" s="5" t="s">
        <v>508</v>
      </c>
      <c r="E190" s="5" t="s">
        <v>444</v>
      </c>
      <c r="F190" s="8">
        <f>IFERROR(AVERAGEIF(Station_Visual_Nodes!$D:$D,B190,Station_Visual_Nodes!$I:$I),"")</f>
        <v>3664</v>
      </c>
      <c r="G190" s="8">
        <f>IFERROR(AVERAGEIF(Station_Visual_Nodes!$D:$D,B190,Station_Visual_Nodes!$J:$J),"")</f>
        <v>948</v>
      </c>
      <c r="H190" s="11">
        <f>IF(F190="","",F190/Config!$B$2*100)</f>
        <v>71.5625</v>
      </c>
      <c r="I190" s="11">
        <f>IF(G190="","",G190/Config!$B$3*100)</f>
        <v>32.916666666666664</v>
      </c>
      <c r="J190" s="5">
        <v>24</v>
      </c>
      <c r="K190" s="5" t="s">
        <v>919</v>
      </c>
      <c r="L190" s="5" t="s">
        <v>920</v>
      </c>
      <c r="M190" s="5"/>
    </row>
    <row r="191" spans="1:13" ht="15">
      <c r="A191" s="5" t="str">
        <f t="shared" si="2"/>
        <v>완료</v>
      </c>
      <c r="B191" s="5" t="s">
        <v>509</v>
      </c>
      <c r="C191" s="5" t="s">
        <v>509</v>
      </c>
      <c r="D191" s="5" t="s">
        <v>510</v>
      </c>
      <c r="E191" s="5" t="s">
        <v>511</v>
      </c>
      <c r="F191" s="8">
        <f>IFERROR(AVERAGEIF(Station_Visual_Nodes!$D:$D,B191,Station_Visual_Nodes!$I:$I),"")</f>
        <v>3064</v>
      </c>
      <c r="G191" s="8">
        <f>IFERROR(AVERAGEIF(Station_Visual_Nodes!$D:$D,B191,Station_Visual_Nodes!$J:$J),"")</f>
        <v>408</v>
      </c>
      <c r="H191" s="11">
        <f>IF(F191="","",F191/Config!$B$2*100)</f>
        <v>59.843749999999993</v>
      </c>
      <c r="I191" s="11">
        <f>IF(G191="","",G191/Config!$B$3*100)</f>
        <v>14.166666666666666</v>
      </c>
      <c r="J191" s="5">
        <v>24</v>
      </c>
      <c r="K191" s="5" t="s">
        <v>919</v>
      </c>
      <c r="L191" s="5" t="s">
        <v>920</v>
      </c>
      <c r="M191" s="5"/>
    </row>
    <row r="192" spans="1:13" ht="15">
      <c r="A192" s="5" t="str">
        <f t="shared" si="2"/>
        <v>완료</v>
      </c>
      <c r="B192" s="5" t="s">
        <v>513</v>
      </c>
      <c r="C192" s="5" t="s">
        <v>513</v>
      </c>
      <c r="D192" s="5" t="s">
        <v>514</v>
      </c>
      <c r="E192" s="5" t="s">
        <v>511</v>
      </c>
      <c r="F192" s="8">
        <f>IFERROR(AVERAGEIF(Station_Visual_Nodes!$D:$D,B192,Station_Visual_Nodes!$I:$I),"")</f>
        <v>3064</v>
      </c>
      <c r="G192" s="8">
        <f>IFERROR(AVERAGEIF(Station_Visual_Nodes!$D:$D,B192,Station_Visual_Nodes!$J:$J),"")</f>
        <v>324</v>
      </c>
      <c r="H192" s="11">
        <f>IF(F192="","",F192/Config!$B$2*100)</f>
        <v>59.843749999999993</v>
      </c>
      <c r="I192" s="11">
        <f>IF(G192="","",G192/Config!$B$3*100)</f>
        <v>11.25</v>
      </c>
      <c r="J192" s="5">
        <v>24</v>
      </c>
      <c r="K192" s="5" t="s">
        <v>919</v>
      </c>
      <c r="L192" s="5" t="s">
        <v>920</v>
      </c>
      <c r="M192" s="5"/>
    </row>
    <row r="193" spans="1:13" ht="15">
      <c r="A193" s="5" t="str">
        <f t="shared" si="2"/>
        <v>완료</v>
      </c>
      <c r="B193" s="5" t="s">
        <v>515</v>
      </c>
      <c r="C193" s="5" t="s">
        <v>515</v>
      </c>
      <c r="D193" s="5" t="s">
        <v>516</v>
      </c>
      <c r="E193" s="5" t="s">
        <v>511</v>
      </c>
      <c r="F193" s="8">
        <f>IFERROR(AVERAGEIF(Station_Visual_Nodes!$D:$D,B193,Station_Visual_Nodes!$I:$I),"")</f>
        <v>3064</v>
      </c>
      <c r="G193" s="8">
        <f>IFERROR(AVERAGEIF(Station_Visual_Nodes!$D:$D,B193,Station_Visual_Nodes!$J:$J),"")</f>
        <v>240</v>
      </c>
      <c r="H193" s="11">
        <f>IF(F193="","",F193/Config!$B$2*100)</f>
        <v>59.843749999999993</v>
      </c>
      <c r="I193" s="11">
        <f>IF(G193="","",G193/Config!$B$3*100)</f>
        <v>8.3333333333333321</v>
      </c>
      <c r="J193" s="5">
        <v>24</v>
      </c>
      <c r="K193" s="5" t="s">
        <v>919</v>
      </c>
      <c r="L193" s="5" t="s">
        <v>920</v>
      </c>
      <c r="M193" s="5"/>
    </row>
    <row r="194" spans="1:13" ht="15">
      <c r="A194" s="5" t="str">
        <f t="shared" ref="A194:A241" si="3">IF(OR(F194="",G194=""),"미작업","완료")</f>
        <v>완료</v>
      </c>
      <c r="B194" s="5" t="s">
        <v>517</v>
      </c>
      <c r="C194" s="5" t="s">
        <v>517</v>
      </c>
      <c r="D194" s="5" t="s">
        <v>518</v>
      </c>
      <c r="E194" s="5" t="s">
        <v>511</v>
      </c>
      <c r="F194" s="8">
        <f>IFERROR(AVERAGEIF(Station_Visual_Nodes!$D:$D,B194,Station_Visual_Nodes!$I:$I),"")</f>
        <v>3464</v>
      </c>
      <c r="G194" s="8">
        <f>IFERROR(AVERAGEIF(Station_Visual_Nodes!$D:$D,B194,Station_Visual_Nodes!$J:$J),"")</f>
        <v>240</v>
      </c>
      <c r="H194" s="11">
        <f>IF(F194="","",F194/Config!$B$2*100)</f>
        <v>67.65625</v>
      </c>
      <c r="I194" s="11">
        <f>IF(G194="","",G194/Config!$B$3*100)</f>
        <v>8.3333333333333321</v>
      </c>
      <c r="J194" s="5">
        <v>24</v>
      </c>
      <c r="K194" s="5" t="s">
        <v>919</v>
      </c>
      <c r="L194" s="5" t="s">
        <v>920</v>
      </c>
      <c r="M194" s="5"/>
    </row>
    <row r="195" spans="1:13" ht="15">
      <c r="A195" s="5" t="str">
        <f t="shared" si="3"/>
        <v>완료</v>
      </c>
      <c r="B195" s="5" t="s">
        <v>519</v>
      </c>
      <c r="C195" s="5" t="s">
        <v>519</v>
      </c>
      <c r="D195" s="5" t="s">
        <v>520</v>
      </c>
      <c r="E195" s="5" t="s">
        <v>511</v>
      </c>
      <c r="F195" s="8">
        <f>IFERROR(AVERAGEIF(Station_Visual_Nodes!$D:$D,B195,Station_Visual_Nodes!$I:$I),"")</f>
        <v>3464</v>
      </c>
      <c r="G195" s="8">
        <f>IFERROR(AVERAGEIF(Station_Visual_Nodes!$D:$D,B195,Station_Visual_Nodes!$J:$J),"")</f>
        <v>426</v>
      </c>
      <c r="H195" s="11">
        <f>IF(F195="","",F195/Config!$B$2*100)</f>
        <v>67.65625</v>
      </c>
      <c r="I195" s="11">
        <f>IF(G195="","",G195/Config!$B$3*100)</f>
        <v>14.791666666666666</v>
      </c>
      <c r="J195" s="5">
        <v>24</v>
      </c>
      <c r="K195" s="5" t="s">
        <v>919</v>
      </c>
      <c r="L195" s="5" t="s">
        <v>920</v>
      </c>
      <c r="M195" s="5"/>
    </row>
    <row r="196" spans="1:13" ht="15">
      <c r="A196" s="5" t="str">
        <f t="shared" si="3"/>
        <v>완료</v>
      </c>
      <c r="B196" s="5" t="s">
        <v>521</v>
      </c>
      <c r="C196" s="5" t="s">
        <v>521</v>
      </c>
      <c r="D196" s="5" t="s">
        <v>522</v>
      </c>
      <c r="E196" s="5" t="s">
        <v>511</v>
      </c>
      <c r="F196" s="8">
        <f>IFERROR(AVERAGEIF(Station_Visual_Nodes!$D:$D,B196,Station_Visual_Nodes!$I:$I),"")</f>
        <v>3464</v>
      </c>
      <c r="G196" s="8">
        <f>IFERROR(AVERAGEIF(Station_Visual_Nodes!$D:$D,B196,Station_Visual_Nodes!$J:$J),"")</f>
        <v>496</v>
      </c>
      <c r="H196" s="11">
        <f>IF(F196="","",F196/Config!$B$2*100)</f>
        <v>67.65625</v>
      </c>
      <c r="I196" s="11">
        <f>IF(G196="","",G196/Config!$B$3*100)</f>
        <v>17.222222222222221</v>
      </c>
      <c r="J196" s="5">
        <v>24</v>
      </c>
      <c r="K196" s="5" t="s">
        <v>919</v>
      </c>
      <c r="L196" s="5" t="s">
        <v>920</v>
      </c>
      <c r="M196" s="5"/>
    </row>
    <row r="197" spans="1:13" ht="15">
      <c r="A197" s="5" t="str">
        <f t="shared" si="3"/>
        <v>완료</v>
      </c>
      <c r="B197" s="5" t="s">
        <v>523</v>
      </c>
      <c r="C197" s="5" t="s">
        <v>523</v>
      </c>
      <c r="D197" s="5" t="s">
        <v>524</v>
      </c>
      <c r="E197" s="5" t="s">
        <v>511</v>
      </c>
      <c r="F197" s="8">
        <f>IFERROR(AVERAGEIF(Station_Visual_Nodes!$D:$D,B197,Station_Visual_Nodes!$I:$I),"")</f>
        <v>3464</v>
      </c>
      <c r="G197" s="8">
        <f>IFERROR(AVERAGEIF(Station_Visual_Nodes!$D:$D,B197,Station_Visual_Nodes!$J:$J),"")</f>
        <v>566</v>
      </c>
      <c r="H197" s="11">
        <f>IF(F197="","",F197/Config!$B$2*100)</f>
        <v>67.65625</v>
      </c>
      <c r="I197" s="11">
        <f>IF(G197="","",G197/Config!$B$3*100)</f>
        <v>19.652777777777779</v>
      </c>
      <c r="J197" s="5">
        <v>24</v>
      </c>
      <c r="K197" s="5" t="s">
        <v>919</v>
      </c>
      <c r="L197" s="5" t="s">
        <v>920</v>
      </c>
      <c r="M197" s="5"/>
    </row>
    <row r="198" spans="1:13" ht="15">
      <c r="A198" s="5" t="str">
        <f t="shared" si="3"/>
        <v>완료</v>
      </c>
      <c r="B198" s="5" t="s">
        <v>525</v>
      </c>
      <c r="C198" s="5" t="s">
        <v>525</v>
      </c>
      <c r="D198" s="5" t="s">
        <v>526</v>
      </c>
      <c r="E198" s="5" t="s">
        <v>511</v>
      </c>
      <c r="F198" s="8">
        <f>IFERROR(AVERAGEIF(Station_Visual_Nodes!$D:$D,B198,Station_Visual_Nodes!$I:$I),"")</f>
        <v>3464</v>
      </c>
      <c r="G198" s="8">
        <f>IFERROR(AVERAGEIF(Station_Visual_Nodes!$D:$D,B198,Station_Visual_Nodes!$J:$J),"")</f>
        <v>748</v>
      </c>
      <c r="H198" s="11">
        <f>IF(F198="","",F198/Config!$B$2*100)</f>
        <v>67.65625</v>
      </c>
      <c r="I198" s="11">
        <f>IF(G198="","",G198/Config!$B$3*100)</f>
        <v>25.972222222222225</v>
      </c>
      <c r="J198" s="5">
        <v>24</v>
      </c>
      <c r="K198" s="5" t="s">
        <v>919</v>
      </c>
      <c r="L198" s="5" t="s">
        <v>920</v>
      </c>
      <c r="M198" s="5"/>
    </row>
    <row r="199" spans="1:13" ht="15">
      <c r="A199" s="5" t="str">
        <f t="shared" si="3"/>
        <v>완료</v>
      </c>
      <c r="B199" s="5" t="s">
        <v>527</v>
      </c>
      <c r="C199" s="5" t="s">
        <v>527</v>
      </c>
      <c r="D199" s="5" t="s">
        <v>528</v>
      </c>
      <c r="E199" s="5" t="s">
        <v>511</v>
      </c>
      <c r="F199" s="8">
        <f>IFERROR(AVERAGEIF(Station_Visual_Nodes!$D:$D,B199,Station_Visual_Nodes!$I:$I),"")</f>
        <v>3464</v>
      </c>
      <c r="G199" s="8">
        <f>IFERROR(AVERAGEIF(Station_Visual_Nodes!$D:$D,B199,Station_Visual_Nodes!$J:$J),"")</f>
        <v>860</v>
      </c>
      <c r="H199" s="11">
        <f>IF(F199="","",F199/Config!$B$2*100)</f>
        <v>67.65625</v>
      </c>
      <c r="I199" s="11">
        <f>IF(G199="","",G199/Config!$B$3*100)</f>
        <v>29.861111111111111</v>
      </c>
      <c r="J199" s="5">
        <v>24</v>
      </c>
      <c r="K199" s="5" t="s">
        <v>919</v>
      </c>
      <c r="L199" s="5" t="s">
        <v>920</v>
      </c>
      <c r="M199" s="5"/>
    </row>
    <row r="200" spans="1:13" ht="15">
      <c r="A200" s="5" t="str">
        <f t="shared" si="3"/>
        <v>완료</v>
      </c>
      <c r="B200" s="5" t="s">
        <v>529</v>
      </c>
      <c r="C200" s="5" t="s">
        <v>529</v>
      </c>
      <c r="D200" s="5" t="s">
        <v>530</v>
      </c>
      <c r="E200" s="5" t="s">
        <v>511</v>
      </c>
      <c r="F200" s="8">
        <f>IFERROR(AVERAGEIF(Station_Visual_Nodes!$D:$D,B200,Station_Visual_Nodes!$I:$I),"")</f>
        <v>3464</v>
      </c>
      <c r="G200" s="8">
        <f>IFERROR(AVERAGEIF(Station_Visual_Nodes!$D:$D,B200,Station_Visual_Nodes!$J:$J),"")</f>
        <v>972</v>
      </c>
      <c r="H200" s="11">
        <f>IF(F200="","",F200/Config!$B$2*100)</f>
        <v>67.65625</v>
      </c>
      <c r="I200" s="11">
        <f>IF(G200="","",G200/Config!$B$3*100)</f>
        <v>33.75</v>
      </c>
      <c r="J200" s="5">
        <v>24</v>
      </c>
      <c r="K200" s="5" t="s">
        <v>919</v>
      </c>
      <c r="L200" s="5" t="s">
        <v>920</v>
      </c>
      <c r="M200" s="5"/>
    </row>
    <row r="201" spans="1:13" ht="15">
      <c r="A201" s="5" t="str">
        <f t="shared" si="3"/>
        <v>완료</v>
      </c>
      <c r="B201" s="5" t="s">
        <v>531</v>
      </c>
      <c r="C201" s="5" t="s">
        <v>531</v>
      </c>
      <c r="D201" s="5" t="s">
        <v>532</v>
      </c>
      <c r="E201" s="5" t="s">
        <v>511</v>
      </c>
      <c r="F201" s="8">
        <f>IFERROR(AVERAGEIF(Station_Visual_Nodes!$D:$D,B201,Station_Visual_Nodes!$I:$I),"")</f>
        <v>3420</v>
      </c>
      <c r="G201" s="8">
        <f>IFERROR(AVERAGEIF(Station_Visual_Nodes!$D:$D,B201,Station_Visual_Nodes!$J:$J),"")</f>
        <v>1020</v>
      </c>
      <c r="H201" s="11">
        <f>IF(F201="","",F201/Config!$B$2*100)</f>
        <v>66.796875</v>
      </c>
      <c r="I201" s="11">
        <f>IF(G201="","",G201/Config!$B$3*100)</f>
        <v>35.416666666666671</v>
      </c>
      <c r="J201" s="5">
        <v>24</v>
      </c>
      <c r="K201" s="5" t="s">
        <v>919</v>
      </c>
      <c r="L201" s="5" t="s">
        <v>920</v>
      </c>
      <c r="M201" s="5"/>
    </row>
    <row r="202" spans="1:13" ht="15">
      <c r="A202" s="5" t="str">
        <f t="shared" si="3"/>
        <v>완료</v>
      </c>
      <c r="B202" s="5" t="s">
        <v>533</v>
      </c>
      <c r="C202" s="5" t="s">
        <v>533</v>
      </c>
      <c r="D202" s="5" t="s">
        <v>534</v>
      </c>
      <c r="E202" s="5" t="s">
        <v>511</v>
      </c>
      <c r="F202" s="8">
        <f>IFERROR(AVERAGEIF(Station_Visual_Nodes!$D:$D,B202,Station_Visual_Nodes!$I:$I),"")</f>
        <v>3364</v>
      </c>
      <c r="G202" s="8">
        <f>IFERROR(AVERAGEIF(Station_Visual_Nodes!$D:$D,B202,Station_Visual_Nodes!$J:$J),"")</f>
        <v>1078</v>
      </c>
      <c r="H202" s="11">
        <f>IF(F202="","",F202/Config!$B$2*100)</f>
        <v>65.703125</v>
      </c>
      <c r="I202" s="11">
        <f>IF(G202="","",G202/Config!$B$3*100)</f>
        <v>37.430555555555557</v>
      </c>
      <c r="J202" s="5">
        <v>24</v>
      </c>
      <c r="K202" s="5" t="s">
        <v>919</v>
      </c>
      <c r="L202" s="5" t="s">
        <v>920</v>
      </c>
      <c r="M202" s="5"/>
    </row>
    <row r="203" spans="1:13" ht="15">
      <c r="A203" s="5" t="str">
        <f t="shared" si="3"/>
        <v>완료</v>
      </c>
      <c r="B203" s="5" t="s">
        <v>535</v>
      </c>
      <c r="C203" s="5" t="s">
        <v>535</v>
      </c>
      <c r="D203" s="5" t="s">
        <v>536</v>
      </c>
      <c r="E203" s="5" t="s">
        <v>511</v>
      </c>
      <c r="F203" s="8">
        <f>IFERROR(AVERAGEIF(Station_Visual_Nodes!$D:$D,B203,Station_Visual_Nodes!$I:$I),"")</f>
        <v>3304</v>
      </c>
      <c r="G203" s="8">
        <f>IFERROR(AVERAGEIF(Station_Visual_Nodes!$D:$D,B203,Station_Visual_Nodes!$J:$J),"")</f>
        <v>1136</v>
      </c>
      <c r="H203" s="11">
        <f>IF(F203="","",F203/Config!$B$2*100)</f>
        <v>64.53125</v>
      </c>
      <c r="I203" s="11">
        <f>IF(G203="","",G203/Config!$B$3*100)</f>
        <v>39.444444444444443</v>
      </c>
      <c r="J203" s="5">
        <v>24</v>
      </c>
      <c r="K203" s="5" t="s">
        <v>919</v>
      </c>
      <c r="L203" s="5" t="s">
        <v>920</v>
      </c>
      <c r="M203" s="5"/>
    </row>
    <row r="204" spans="1:13" ht="15">
      <c r="A204" s="5" t="str">
        <f t="shared" si="3"/>
        <v>완료</v>
      </c>
      <c r="B204" s="5" t="s">
        <v>537</v>
      </c>
      <c r="C204" s="5" t="s">
        <v>537</v>
      </c>
      <c r="D204" s="5" t="s">
        <v>538</v>
      </c>
      <c r="E204" s="5" t="s">
        <v>511</v>
      </c>
      <c r="F204" s="8">
        <f>IFERROR(AVERAGEIF(Station_Visual_Nodes!$D:$D,B204,Station_Visual_Nodes!$I:$I),"")</f>
        <v>3248</v>
      </c>
      <c r="G204" s="8">
        <f>IFERROR(AVERAGEIF(Station_Visual_Nodes!$D:$D,B204,Station_Visual_Nodes!$J:$J),"")</f>
        <v>1196</v>
      </c>
      <c r="H204" s="11">
        <f>IF(F204="","",F204/Config!$B$2*100)</f>
        <v>63.4375</v>
      </c>
      <c r="I204" s="11">
        <f>IF(G204="","",G204/Config!$B$3*100)</f>
        <v>41.527777777777779</v>
      </c>
      <c r="J204" s="5">
        <v>24</v>
      </c>
      <c r="K204" s="5" t="s">
        <v>919</v>
      </c>
      <c r="L204" s="5" t="s">
        <v>920</v>
      </c>
      <c r="M204" s="5"/>
    </row>
    <row r="205" spans="1:13" ht="15">
      <c r="A205" s="5" t="str">
        <f t="shared" si="3"/>
        <v>완료</v>
      </c>
      <c r="B205" s="5" t="s">
        <v>539</v>
      </c>
      <c r="C205" s="5" t="s">
        <v>539</v>
      </c>
      <c r="D205" s="5" t="s">
        <v>540</v>
      </c>
      <c r="E205" s="5" t="s">
        <v>511</v>
      </c>
      <c r="F205" s="8">
        <f>IFERROR(AVERAGEIF(Station_Visual_Nodes!$D:$D,B205,Station_Visual_Nodes!$I:$I),"")</f>
        <v>3078</v>
      </c>
      <c r="G205" s="8">
        <f>IFERROR(AVERAGEIF(Station_Visual_Nodes!$D:$D,B205,Station_Visual_Nodes!$J:$J),"")</f>
        <v>1364</v>
      </c>
      <c r="H205" s="11">
        <f>IF(F205="","",F205/Config!$B$2*100)</f>
        <v>60.1171875</v>
      </c>
      <c r="I205" s="11">
        <f>IF(G205="","",G205/Config!$B$3*100)</f>
        <v>47.361111111111107</v>
      </c>
      <c r="J205" s="5">
        <v>24</v>
      </c>
      <c r="K205" s="5" t="s">
        <v>919</v>
      </c>
      <c r="L205" s="5" t="s">
        <v>920</v>
      </c>
      <c r="M205" s="5"/>
    </row>
    <row r="206" spans="1:13" ht="15">
      <c r="A206" s="5" t="str">
        <f t="shared" si="3"/>
        <v>완료</v>
      </c>
      <c r="B206" s="5" t="s">
        <v>541</v>
      </c>
      <c r="C206" s="5" t="s">
        <v>541</v>
      </c>
      <c r="D206" s="5" t="s">
        <v>1031</v>
      </c>
      <c r="E206" s="5" t="s">
        <v>511</v>
      </c>
      <c r="F206" s="8">
        <f>IFERROR(AVERAGEIF(Station_Visual_Nodes!$D:$D,B206,Station_Visual_Nodes!$I:$I),"")</f>
        <v>2906</v>
      </c>
      <c r="G206" s="8">
        <f>IFERROR(AVERAGEIF(Station_Visual_Nodes!$D:$D,B206,Station_Visual_Nodes!$J:$J),"")</f>
        <v>1538</v>
      </c>
      <c r="H206" s="11">
        <f>IF(F206="","",F206/Config!$B$2*100)</f>
        <v>56.757812500000007</v>
      </c>
      <c r="I206" s="11">
        <f>IF(G206="","",G206/Config!$B$3*100)</f>
        <v>53.402777777777779</v>
      </c>
      <c r="J206" s="5">
        <v>24</v>
      </c>
      <c r="K206" s="5" t="s">
        <v>919</v>
      </c>
      <c r="L206" s="5" t="s">
        <v>920</v>
      </c>
      <c r="M206" s="5"/>
    </row>
    <row r="207" spans="1:13" ht="15">
      <c r="A207" s="5" t="str">
        <f t="shared" si="3"/>
        <v>완료</v>
      </c>
      <c r="B207" s="5" t="s">
        <v>542</v>
      </c>
      <c r="C207" s="5" t="s">
        <v>542</v>
      </c>
      <c r="D207" s="5" t="s">
        <v>543</v>
      </c>
      <c r="E207" s="5" t="s">
        <v>511</v>
      </c>
      <c r="F207" s="8">
        <f>IFERROR(AVERAGEIF(Station_Visual_Nodes!$D:$D,B207,Station_Visual_Nodes!$I:$I),"")</f>
        <v>2846</v>
      </c>
      <c r="G207" s="8">
        <f>IFERROR(AVERAGEIF(Station_Visual_Nodes!$D:$D,B207,Station_Visual_Nodes!$J:$J),"")</f>
        <v>1596</v>
      </c>
      <c r="H207" s="11">
        <f>IF(F207="","",F207/Config!$B$2*100)</f>
        <v>55.585937500000007</v>
      </c>
      <c r="I207" s="11">
        <f>IF(G207="","",G207/Config!$B$3*100)</f>
        <v>55.416666666666671</v>
      </c>
      <c r="J207" s="5">
        <v>24</v>
      </c>
      <c r="K207" s="5" t="s">
        <v>919</v>
      </c>
      <c r="L207" s="5" t="s">
        <v>920</v>
      </c>
      <c r="M207" s="5"/>
    </row>
    <row r="208" spans="1:13" ht="15">
      <c r="A208" s="5" t="str">
        <f t="shared" si="3"/>
        <v>완료</v>
      </c>
      <c r="B208" s="5" t="s">
        <v>544</v>
      </c>
      <c r="C208" s="5" t="s">
        <v>544</v>
      </c>
      <c r="D208" s="5" t="s">
        <v>545</v>
      </c>
      <c r="E208" s="5" t="s">
        <v>511</v>
      </c>
      <c r="F208" s="8">
        <f>IFERROR(AVERAGEIF(Station_Visual_Nodes!$D:$D,B208,Station_Visual_Nodes!$I:$I),"")</f>
        <v>2776</v>
      </c>
      <c r="G208" s="8">
        <f>IFERROR(AVERAGEIF(Station_Visual_Nodes!$D:$D,B208,Station_Visual_Nodes!$J:$J),"")</f>
        <v>1668</v>
      </c>
      <c r="H208" s="11">
        <f>IF(F208="","",F208/Config!$B$2*100)</f>
        <v>54.218750000000007</v>
      </c>
      <c r="I208" s="11">
        <f>IF(G208="","",G208/Config!$B$3*100)</f>
        <v>57.916666666666671</v>
      </c>
      <c r="J208" s="5">
        <v>24</v>
      </c>
      <c r="K208" s="5" t="s">
        <v>919</v>
      </c>
      <c r="L208" s="5" t="s">
        <v>920</v>
      </c>
      <c r="M208" s="5"/>
    </row>
    <row r="209" spans="1:13" ht="15">
      <c r="A209" s="5" t="str">
        <f t="shared" si="3"/>
        <v>완료</v>
      </c>
      <c r="B209" s="5" t="s">
        <v>546</v>
      </c>
      <c r="C209" s="5" t="s">
        <v>546</v>
      </c>
      <c r="D209" s="5" t="s">
        <v>547</v>
      </c>
      <c r="E209" s="5" t="s">
        <v>511</v>
      </c>
      <c r="F209" s="8">
        <f>IFERROR(AVERAGEIF(Station_Visual_Nodes!$D:$D,B209,Station_Visual_Nodes!$I:$I),"")</f>
        <v>2696</v>
      </c>
      <c r="G209" s="8">
        <f>IFERROR(AVERAGEIF(Station_Visual_Nodes!$D:$D,B209,Station_Visual_Nodes!$J:$J),"")</f>
        <v>1748</v>
      </c>
      <c r="H209" s="11">
        <f>IF(F209="","",F209/Config!$B$2*100)</f>
        <v>52.656250000000007</v>
      </c>
      <c r="I209" s="11">
        <f>IF(G209="","",G209/Config!$B$3*100)</f>
        <v>60.694444444444443</v>
      </c>
      <c r="J209" s="5">
        <v>24</v>
      </c>
      <c r="K209" s="5" t="s">
        <v>919</v>
      </c>
      <c r="L209" s="5" t="s">
        <v>920</v>
      </c>
      <c r="M209" s="5"/>
    </row>
    <row r="210" spans="1:13" ht="15">
      <c r="A210" s="5" t="str">
        <f t="shared" si="3"/>
        <v>완료</v>
      </c>
      <c r="B210" s="5" t="s">
        <v>548</v>
      </c>
      <c r="C210" s="5" t="s">
        <v>548</v>
      </c>
      <c r="D210" s="5" t="s">
        <v>549</v>
      </c>
      <c r="E210" s="5" t="s">
        <v>511</v>
      </c>
      <c r="F210" s="8">
        <f>IFERROR(AVERAGEIF(Station_Visual_Nodes!$D:$D,B210,Station_Visual_Nodes!$I:$I),"")</f>
        <v>2618</v>
      </c>
      <c r="G210" s="8">
        <f>IFERROR(AVERAGEIF(Station_Visual_Nodes!$D:$D,B210,Station_Visual_Nodes!$J:$J),"")</f>
        <v>1826</v>
      </c>
      <c r="H210" s="11">
        <f>IF(F210="","",F210/Config!$B$2*100)</f>
        <v>51.1328125</v>
      </c>
      <c r="I210" s="11">
        <f>IF(G210="","",G210/Config!$B$3*100)</f>
        <v>63.402777777777771</v>
      </c>
      <c r="J210" s="5">
        <v>24</v>
      </c>
      <c r="K210" s="5" t="s">
        <v>919</v>
      </c>
      <c r="L210" s="5" t="s">
        <v>920</v>
      </c>
      <c r="M210" s="5"/>
    </row>
    <row r="211" spans="1:13" ht="15">
      <c r="A211" s="5" t="str">
        <f t="shared" si="3"/>
        <v>완료</v>
      </c>
      <c r="B211" s="5" t="s">
        <v>550</v>
      </c>
      <c r="C211" s="5" t="s">
        <v>550</v>
      </c>
      <c r="D211" s="5" t="s">
        <v>551</v>
      </c>
      <c r="E211" s="5" t="s">
        <v>511</v>
      </c>
      <c r="F211" s="8">
        <f>IFERROR(AVERAGEIF(Station_Visual_Nodes!$D:$D,B211,Station_Visual_Nodes!$I:$I),"")</f>
        <v>2554</v>
      </c>
      <c r="G211" s="8">
        <f>IFERROR(AVERAGEIF(Station_Visual_Nodes!$D:$D,B211,Station_Visual_Nodes!$J:$J),"")</f>
        <v>1892</v>
      </c>
      <c r="H211" s="11">
        <f>IF(F211="","",F211/Config!$B$2*100)</f>
        <v>49.8828125</v>
      </c>
      <c r="I211" s="11">
        <f>IF(G211="","",G211/Config!$B$3*100)</f>
        <v>65.694444444444443</v>
      </c>
      <c r="J211" s="5">
        <v>24</v>
      </c>
      <c r="K211" s="5" t="s">
        <v>919</v>
      </c>
      <c r="L211" s="5" t="s">
        <v>920</v>
      </c>
      <c r="M211" s="5"/>
    </row>
    <row r="212" spans="1:13" ht="15">
      <c r="A212" s="5" t="str">
        <f t="shared" si="3"/>
        <v>완료</v>
      </c>
      <c r="B212" s="5" t="s">
        <v>552</v>
      </c>
      <c r="C212" s="5" t="s">
        <v>552</v>
      </c>
      <c r="D212" s="5" t="s">
        <v>553</v>
      </c>
      <c r="E212" s="5" t="s">
        <v>511</v>
      </c>
      <c r="F212" s="8">
        <f>IFERROR(AVERAGEIF(Station_Visual_Nodes!$D:$D,B212,Station_Visual_Nodes!$I:$I),"")</f>
        <v>2340</v>
      </c>
      <c r="G212" s="8">
        <f>IFERROR(AVERAGEIF(Station_Visual_Nodes!$D:$D,B212,Station_Visual_Nodes!$J:$J),"")</f>
        <v>1964</v>
      </c>
      <c r="H212" s="11">
        <f>IF(F212="","",F212/Config!$B$2*100)</f>
        <v>45.703125</v>
      </c>
      <c r="I212" s="11">
        <f>IF(G212="","",G212/Config!$B$3*100)</f>
        <v>68.194444444444443</v>
      </c>
      <c r="J212" s="5">
        <v>24</v>
      </c>
      <c r="K212" s="5" t="s">
        <v>919</v>
      </c>
      <c r="L212" s="5" t="s">
        <v>920</v>
      </c>
      <c r="M212" s="5"/>
    </row>
    <row r="213" spans="1:13" ht="15">
      <c r="A213" s="5" t="str">
        <f t="shared" si="3"/>
        <v>완료</v>
      </c>
      <c r="B213" s="5" t="s">
        <v>554</v>
      </c>
      <c r="C213" s="5" t="s">
        <v>554</v>
      </c>
      <c r="D213" s="5" t="s">
        <v>555</v>
      </c>
      <c r="E213" s="5" t="s">
        <v>511</v>
      </c>
      <c r="F213" s="8">
        <f>IFERROR(AVERAGEIF(Station_Visual_Nodes!$D:$D,B213,Station_Visual_Nodes!$I:$I),"")</f>
        <v>2096</v>
      </c>
      <c r="G213" s="8">
        <f>IFERROR(AVERAGEIF(Station_Visual_Nodes!$D:$D,B213,Station_Visual_Nodes!$J:$J),"")</f>
        <v>1964</v>
      </c>
      <c r="H213" s="11">
        <f>IF(F213="","",F213/Config!$B$2*100)</f>
        <v>40.9375</v>
      </c>
      <c r="I213" s="11">
        <f>IF(G213="","",G213/Config!$B$3*100)</f>
        <v>68.194444444444443</v>
      </c>
      <c r="J213" s="5">
        <v>24</v>
      </c>
      <c r="K213" s="5" t="s">
        <v>919</v>
      </c>
      <c r="L213" s="5" t="s">
        <v>920</v>
      </c>
      <c r="M213" s="5"/>
    </row>
    <row r="214" spans="1:13" ht="15">
      <c r="A214" s="5" t="str">
        <f t="shared" si="3"/>
        <v>완료</v>
      </c>
      <c r="B214" s="5" t="s">
        <v>556</v>
      </c>
      <c r="C214" s="5" t="s">
        <v>556</v>
      </c>
      <c r="D214" s="5" t="s">
        <v>557</v>
      </c>
      <c r="E214" s="5" t="s">
        <v>511</v>
      </c>
      <c r="F214" s="8">
        <f>IFERROR(AVERAGEIF(Station_Visual_Nodes!$D:$D,B214,Station_Visual_Nodes!$I:$I),"")</f>
        <v>2000</v>
      </c>
      <c r="G214" s="8">
        <f>IFERROR(AVERAGEIF(Station_Visual_Nodes!$D:$D,B214,Station_Visual_Nodes!$J:$J),"")</f>
        <v>1964</v>
      </c>
      <c r="H214" s="11">
        <f>IF(F214="","",F214/Config!$B$2*100)</f>
        <v>39.0625</v>
      </c>
      <c r="I214" s="11">
        <f>IF(G214="","",G214/Config!$B$3*100)</f>
        <v>68.194444444444443</v>
      </c>
      <c r="J214" s="5">
        <v>24</v>
      </c>
      <c r="K214" s="5" t="s">
        <v>919</v>
      </c>
      <c r="L214" s="5" t="s">
        <v>920</v>
      </c>
      <c r="M214" s="5"/>
    </row>
    <row r="215" spans="1:13" ht="15">
      <c r="A215" s="5" t="str">
        <f t="shared" si="3"/>
        <v>완료</v>
      </c>
      <c r="B215" s="5" t="s">
        <v>558</v>
      </c>
      <c r="C215" s="5" t="s">
        <v>558</v>
      </c>
      <c r="D215" s="5" t="s">
        <v>559</v>
      </c>
      <c r="E215" s="5" t="s">
        <v>511</v>
      </c>
      <c r="F215" s="8">
        <f>IFERROR(AVERAGEIF(Station_Visual_Nodes!$D:$D,B215,Station_Visual_Nodes!$I:$I),"")</f>
        <v>1904</v>
      </c>
      <c r="G215" s="8">
        <f>IFERROR(AVERAGEIF(Station_Visual_Nodes!$D:$D,B215,Station_Visual_Nodes!$J:$J),"")</f>
        <v>1964</v>
      </c>
      <c r="H215" s="11">
        <f>IF(F215="","",F215/Config!$B$2*100)</f>
        <v>37.1875</v>
      </c>
      <c r="I215" s="11">
        <f>IF(G215="","",G215/Config!$B$3*100)</f>
        <v>68.194444444444443</v>
      </c>
      <c r="J215" s="5">
        <v>24</v>
      </c>
      <c r="K215" s="5" t="s">
        <v>919</v>
      </c>
      <c r="L215" s="5" t="s">
        <v>920</v>
      </c>
      <c r="M215" s="5"/>
    </row>
    <row r="216" spans="1:13" ht="15">
      <c r="A216" s="5" t="str">
        <f t="shared" si="3"/>
        <v>완료</v>
      </c>
      <c r="B216" s="5" t="s">
        <v>560</v>
      </c>
      <c r="C216" s="5" t="s">
        <v>560</v>
      </c>
      <c r="D216" s="5" t="s">
        <v>561</v>
      </c>
      <c r="E216" s="5" t="s">
        <v>511</v>
      </c>
      <c r="F216" s="8">
        <f>IFERROR(AVERAGEIF(Station_Visual_Nodes!$D:$D,B216,Station_Visual_Nodes!$I:$I),"")</f>
        <v>1808</v>
      </c>
      <c r="G216" s="8">
        <f>IFERROR(AVERAGEIF(Station_Visual_Nodes!$D:$D,B216,Station_Visual_Nodes!$J:$J),"")</f>
        <v>1964</v>
      </c>
      <c r="H216" s="11">
        <f>IF(F216="","",F216/Config!$B$2*100)</f>
        <v>35.3125</v>
      </c>
      <c r="I216" s="11">
        <f>IF(G216="","",G216/Config!$B$3*100)</f>
        <v>68.194444444444443</v>
      </c>
      <c r="J216" s="5">
        <v>24</v>
      </c>
      <c r="K216" s="5" t="s">
        <v>919</v>
      </c>
      <c r="L216" s="5" t="s">
        <v>920</v>
      </c>
      <c r="M216" s="5"/>
    </row>
    <row r="217" spans="1:13" ht="15">
      <c r="A217" s="5" t="str">
        <f t="shared" si="3"/>
        <v>완료</v>
      </c>
      <c r="B217" s="5" t="s">
        <v>562</v>
      </c>
      <c r="C217" s="5" t="s">
        <v>562</v>
      </c>
      <c r="D217" s="5" t="s">
        <v>563</v>
      </c>
      <c r="E217" s="5" t="s">
        <v>511</v>
      </c>
      <c r="F217" s="8">
        <f>IFERROR(AVERAGEIF(Station_Visual_Nodes!$D:$D,B217,Station_Visual_Nodes!$I:$I),"")</f>
        <v>1712</v>
      </c>
      <c r="G217" s="8">
        <f>IFERROR(AVERAGEIF(Station_Visual_Nodes!$D:$D,B217,Station_Visual_Nodes!$J:$J),"")</f>
        <v>1964</v>
      </c>
      <c r="H217" s="11">
        <f>IF(F217="","",F217/Config!$B$2*100)</f>
        <v>33.4375</v>
      </c>
      <c r="I217" s="11">
        <f>IF(G217="","",G217/Config!$B$3*100)</f>
        <v>68.194444444444443</v>
      </c>
      <c r="J217" s="5">
        <v>24</v>
      </c>
      <c r="K217" s="5" t="s">
        <v>919</v>
      </c>
      <c r="L217" s="5" t="s">
        <v>920</v>
      </c>
      <c r="M217" s="5"/>
    </row>
    <row r="218" spans="1:13" ht="15">
      <c r="A218" s="5" t="str">
        <f t="shared" si="3"/>
        <v>완료</v>
      </c>
      <c r="B218" s="5" t="s">
        <v>564</v>
      </c>
      <c r="C218" s="5" t="s">
        <v>564</v>
      </c>
      <c r="D218" s="5" t="s">
        <v>565</v>
      </c>
      <c r="E218" s="5" t="s">
        <v>511</v>
      </c>
      <c r="F218" s="8">
        <f>IFERROR(AVERAGEIF(Station_Visual_Nodes!$D:$D,B218,Station_Visual_Nodes!$I:$I),"")</f>
        <v>1616</v>
      </c>
      <c r="G218" s="8">
        <f>IFERROR(AVERAGEIF(Station_Visual_Nodes!$D:$D,B218,Station_Visual_Nodes!$J:$J),"")</f>
        <v>1964</v>
      </c>
      <c r="H218" s="11">
        <f>IF(F218="","",F218/Config!$B$2*100)</f>
        <v>31.5625</v>
      </c>
      <c r="I218" s="11">
        <f>IF(G218="","",G218/Config!$B$3*100)</f>
        <v>68.194444444444443</v>
      </c>
      <c r="J218" s="5">
        <v>24</v>
      </c>
      <c r="K218" s="5" t="s">
        <v>919</v>
      </c>
      <c r="L218" s="5" t="s">
        <v>920</v>
      </c>
      <c r="M218" s="5"/>
    </row>
    <row r="219" spans="1:13" ht="15">
      <c r="A219" s="5" t="str">
        <f t="shared" si="3"/>
        <v>완료</v>
      </c>
      <c r="B219" s="5" t="s">
        <v>566</v>
      </c>
      <c r="C219" s="5" t="s">
        <v>566</v>
      </c>
      <c r="D219" s="5" t="s">
        <v>567</v>
      </c>
      <c r="E219" s="5" t="s">
        <v>511</v>
      </c>
      <c r="F219" s="8">
        <f>IFERROR(AVERAGEIF(Station_Visual_Nodes!$D:$D,B219,Station_Visual_Nodes!$I:$I),"")</f>
        <v>1520</v>
      </c>
      <c r="G219" s="8">
        <f>IFERROR(AVERAGEIF(Station_Visual_Nodes!$D:$D,B219,Station_Visual_Nodes!$J:$J),"")</f>
        <v>1964</v>
      </c>
      <c r="H219" s="11">
        <f>IF(F219="","",F219/Config!$B$2*100)</f>
        <v>29.6875</v>
      </c>
      <c r="I219" s="11">
        <f>IF(G219="","",G219/Config!$B$3*100)</f>
        <v>68.194444444444443</v>
      </c>
      <c r="J219" s="5">
        <v>24</v>
      </c>
      <c r="K219" s="5" t="s">
        <v>919</v>
      </c>
      <c r="L219" s="5" t="s">
        <v>920</v>
      </c>
      <c r="M219" s="5"/>
    </row>
    <row r="220" spans="1:13" ht="15">
      <c r="A220" s="5" t="str">
        <f t="shared" si="3"/>
        <v>완료</v>
      </c>
      <c r="B220" s="5" t="s">
        <v>568</v>
      </c>
      <c r="C220" s="5" t="s">
        <v>568</v>
      </c>
      <c r="D220" s="5" t="s">
        <v>569</v>
      </c>
      <c r="E220" s="5" t="s">
        <v>511</v>
      </c>
      <c r="F220" s="8">
        <f>IFERROR(AVERAGEIF(Station_Visual_Nodes!$D:$D,B220,Station_Visual_Nodes!$I:$I),"")</f>
        <v>1340</v>
      </c>
      <c r="G220" s="8">
        <f>IFERROR(AVERAGEIF(Station_Visual_Nodes!$D:$D,B220,Station_Visual_Nodes!$J:$J),"")</f>
        <v>1964</v>
      </c>
      <c r="H220" s="11">
        <f>IF(F220="","",F220/Config!$B$2*100)</f>
        <v>26.171875</v>
      </c>
      <c r="I220" s="11">
        <f>IF(G220="","",G220/Config!$B$3*100)</f>
        <v>68.194444444444443</v>
      </c>
      <c r="J220" s="5">
        <v>24</v>
      </c>
      <c r="K220" s="5" t="s">
        <v>919</v>
      </c>
      <c r="L220" s="5" t="s">
        <v>920</v>
      </c>
      <c r="M220" s="5"/>
    </row>
    <row r="221" spans="1:13" ht="15">
      <c r="A221" s="5" t="str">
        <f t="shared" si="3"/>
        <v>완료</v>
      </c>
      <c r="B221" s="5" t="s">
        <v>570</v>
      </c>
      <c r="C221" s="5" t="s">
        <v>570</v>
      </c>
      <c r="D221" s="5" t="s">
        <v>571</v>
      </c>
      <c r="E221" s="5" t="s">
        <v>511</v>
      </c>
      <c r="F221" s="8">
        <f>IFERROR(AVERAGEIF(Station_Visual_Nodes!$D:$D,B221,Station_Visual_Nodes!$I:$I),"")</f>
        <v>1260</v>
      </c>
      <c r="G221" s="8">
        <f>IFERROR(AVERAGEIF(Station_Visual_Nodes!$D:$D,B221,Station_Visual_Nodes!$J:$J),"")</f>
        <v>1964</v>
      </c>
      <c r="H221" s="11">
        <f>IF(F221="","",F221/Config!$B$2*100)</f>
        <v>24.609375</v>
      </c>
      <c r="I221" s="11">
        <f>IF(G221="","",G221/Config!$B$3*100)</f>
        <v>68.194444444444443</v>
      </c>
      <c r="J221" s="5">
        <v>24</v>
      </c>
      <c r="K221" s="5" t="s">
        <v>919</v>
      </c>
      <c r="L221" s="5" t="s">
        <v>920</v>
      </c>
      <c r="M221" s="5"/>
    </row>
    <row r="222" spans="1:13" ht="15">
      <c r="A222" s="5" t="str">
        <f t="shared" si="3"/>
        <v>완료</v>
      </c>
      <c r="B222" s="5" t="s">
        <v>572</v>
      </c>
      <c r="C222" s="5" t="s">
        <v>572</v>
      </c>
      <c r="D222" s="5" t="s">
        <v>573</v>
      </c>
      <c r="E222" s="5" t="s">
        <v>511</v>
      </c>
      <c r="F222" s="8">
        <f>IFERROR(AVERAGEIF(Station_Visual_Nodes!$D:$D,B222,Station_Visual_Nodes!$I:$I),"")</f>
        <v>1172</v>
      </c>
      <c r="G222" s="8">
        <f>IFERROR(AVERAGEIF(Station_Visual_Nodes!$D:$D,B222,Station_Visual_Nodes!$J:$J),"")</f>
        <v>1964</v>
      </c>
      <c r="H222" s="11">
        <f>IF(F222="","",F222/Config!$B$2*100)</f>
        <v>22.890625</v>
      </c>
      <c r="I222" s="11">
        <f>IF(G222="","",G222/Config!$B$3*100)</f>
        <v>68.194444444444443</v>
      </c>
      <c r="J222" s="5">
        <v>24</v>
      </c>
      <c r="K222" s="5" t="s">
        <v>919</v>
      </c>
      <c r="L222" s="5" t="s">
        <v>920</v>
      </c>
      <c r="M222" s="5"/>
    </row>
    <row r="223" spans="1:13" ht="15">
      <c r="A223" s="5" t="str">
        <f t="shared" si="3"/>
        <v>완료</v>
      </c>
      <c r="B223" s="5" t="s">
        <v>574</v>
      </c>
      <c r="C223" s="5" t="s">
        <v>574</v>
      </c>
      <c r="D223" s="5" t="s">
        <v>575</v>
      </c>
      <c r="E223" s="5" t="s">
        <v>511</v>
      </c>
      <c r="F223" s="8">
        <f>IFERROR(AVERAGEIF(Station_Visual_Nodes!$D:$D,B223,Station_Visual_Nodes!$I:$I),"")</f>
        <v>1084</v>
      </c>
      <c r="G223" s="8">
        <f>IFERROR(AVERAGEIF(Station_Visual_Nodes!$D:$D,B223,Station_Visual_Nodes!$J:$J),"")</f>
        <v>1964</v>
      </c>
      <c r="H223" s="11">
        <f>IF(F223="","",F223/Config!$B$2*100)</f>
        <v>21.171875</v>
      </c>
      <c r="I223" s="11">
        <f>IF(G223="","",G223/Config!$B$3*100)</f>
        <v>68.194444444444443</v>
      </c>
      <c r="J223" s="5">
        <v>24</v>
      </c>
      <c r="K223" s="5" t="s">
        <v>919</v>
      </c>
      <c r="L223" s="5" t="s">
        <v>920</v>
      </c>
      <c r="M223" s="5"/>
    </row>
    <row r="224" spans="1:13" ht="15">
      <c r="A224" s="5" t="str">
        <f t="shared" si="3"/>
        <v>완료</v>
      </c>
      <c r="B224" s="5" t="s">
        <v>576</v>
      </c>
      <c r="C224" s="5" t="s">
        <v>576</v>
      </c>
      <c r="D224" s="5" t="s">
        <v>577</v>
      </c>
      <c r="E224" s="5" t="s">
        <v>511</v>
      </c>
      <c r="F224" s="8">
        <f>IFERROR(AVERAGEIF(Station_Visual_Nodes!$D:$D,B224,Station_Visual_Nodes!$I:$I),"")</f>
        <v>996</v>
      </c>
      <c r="G224" s="8">
        <f>IFERROR(AVERAGEIF(Station_Visual_Nodes!$D:$D,B224,Station_Visual_Nodes!$J:$J),"")</f>
        <v>1964</v>
      </c>
      <c r="H224" s="11">
        <f>IF(F224="","",F224/Config!$B$2*100)</f>
        <v>19.453125</v>
      </c>
      <c r="I224" s="11">
        <f>IF(G224="","",G224/Config!$B$3*100)</f>
        <v>68.194444444444443</v>
      </c>
      <c r="J224" s="5">
        <v>24</v>
      </c>
      <c r="K224" s="5" t="s">
        <v>919</v>
      </c>
      <c r="L224" s="5" t="s">
        <v>920</v>
      </c>
      <c r="M224" s="5"/>
    </row>
    <row r="225" spans="1:13" ht="15">
      <c r="A225" s="5" t="str">
        <f t="shared" si="3"/>
        <v>완료</v>
      </c>
      <c r="B225" s="5" t="s">
        <v>578</v>
      </c>
      <c r="C225" s="5" t="s">
        <v>578</v>
      </c>
      <c r="D225" s="5" t="s">
        <v>579</v>
      </c>
      <c r="E225" s="5" t="s">
        <v>511</v>
      </c>
      <c r="F225" s="8">
        <f>IFERROR(AVERAGEIF(Station_Visual_Nodes!$D:$D,B225,Station_Visual_Nodes!$I:$I),"")</f>
        <v>996</v>
      </c>
      <c r="G225" s="8">
        <f>IFERROR(AVERAGEIF(Station_Visual_Nodes!$D:$D,B225,Station_Visual_Nodes!$J:$J),"")</f>
        <v>1820</v>
      </c>
      <c r="H225" s="11">
        <f>IF(F225="","",F225/Config!$B$2*100)</f>
        <v>19.453125</v>
      </c>
      <c r="I225" s="11">
        <f>IF(G225="","",G225/Config!$B$3*100)</f>
        <v>63.194444444444443</v>
      </c>
      <c r="J225" s="5">
        <v>24</v>
      </c>
      <c r="K225" s="5" t="s">
        <v>919</v>
      </c>
      <c r="L225" s="5" t="s">
        <v>920</v>
      </c>
      <c r="M225" s="5"/>
    </row>
    <row r="226" spans="1:13" ht="15">
      <c r="A226" s="5" t="str">
        <f t="shared" si="3"/>
        <v>완료</v>
      </c>
      <c r="B226" s="5" t="s">
        <v>580</v>
      </c>
      <c r="C226" s="5" t="s">
        <v>580</v>
      </c>
      <c r="D226" s="5" t="s">
        <v>581</v>
      </c>
      <c r="E226" s="5" t="s">
        <v>582</v>
      </c>
      <c r="F226" s="8">
        <f>IFERROR(AVERAGEIF(Station_Visual_Nodes!$D:$D,B226,Station_Visual_Nodes!$I:$I),"")</f>
        <v>3556</v>
      </c>
      <c r="G226" s="8">
        <f>IFERROR(AVERAGEIF(Station_Visual_Nodes!$D:$D,B226,Station_Visual_Nodes!$J:$J),"")</f>
        <v>1636</v>
      </c>
      <c r="H226" s="11">
        <f>IF(F226="","",F226/Config!$B$2*100)</f>
        <v>69.453125</v>
      </c>
      <c r="I226" s="11">
        <f>IF(G226="","",G226/Config!$B$3*100)</f>
        <v>56.805555555555557</v>
      </c>
      <c r="J226" s="5">
        <v>24</v>
      </c>
      <c r="K226" s="5" t="s">
        <v>919</v>
      </c>
      <c r="L226" s="5" t="s">
        <v>920</v>
      </c>
      <c r="M226" s="5"/>
    </row>
    <row r="227" spans="1:13" ht="15">
      <c r="A227" s="5" t="str">
        <f t="shared" si="3"/>
        <v>완료</v>
      </c>
      <c r="B227" s="5" t="s">
        <v>584</v>
      </c>
      <c r="C227" s="5" t="s">
        <v>584</v>
      </c>
      <c r="D227" s="5" t="s">
        <v>585</v>
      </c>
      <c r="E227" s="5" t="s">
        <v>582</v>
      </c>
      <c r="F227" s="8">
        <f>IFERROR(AVERAGEIF(Station_Visual_Nodes!$D:$D,B227,Station_Visual_Nodes!$I:$I),"")</f>
        <v>3464</v>
      </c>
      <c r="G227" s="8">
        <f>IFERROR(AVERAGEIF(Station_Visual_Nodes!$D:$D,B227,Station_Visual_Nodes!$J:$J),"")</f>
        <v>1636</v>
      </c>
      <c r="H227" s="11">
        <f>IF(F227="","",F227/Config!$B$2*100)</f>
        <v>67.65625</v>
      </c>
      <c r="I227" s="11">
        <f>IF(G227="","",G227/Config!$B$3*100)</f>
        <v>56.805555555555557</v>
      </c>
      <c r="J227" s="5">
        <v>24</v>
      </c>
      <c r="K227" s="5" t="s">
        <v>919</v>
      </c>
      <c r="L227" s="5" t="s">
        <v>920</v>
      </c>
      <c r="M227" s="5"/>
    </row>
    <row r="228" spans="1:13" ht="15">
      <c r="A228" s="5" t="str">
        <f t="shared" si="3"/>
        <v>완료</v>
      </c>
      <c r="B228" s="5" t="s">
        <v>586</v>
      </c>
      <c r="C228" s="5" t="s">
        <v>586</v>
      </c>
      <c r="D228" s="5" t="s">
        <v>587</v>
      </c>
      <c r="E228" s="5" t="s">
        <v>582</v>
      </c>
      <c r="F228" s="8">
        <f>IFERROR(AVERAGEIF(Station_Visual_Nodes!$D:$D,B228,Station_Visual_Nodes!$I:$I),"")</f>
        <v>3240</v>
      </c>
      <c r="G228" s="8">
        <f>IFERROR(AVERAGEIF(Station_Visual_Nodes!$D:$D,B228,Station_Visual_Nodes!$J:$J),"")</f>
        <v>1636</v>
      </c>
      <c r="H228" s="11">
        <f>IF(F228="","",F228/Config!$B$2*100)</f>
        <v>63.28125</v>
      </c>
      <c r="I228" s="11">
        <f>IF(G228="","",G228/Config!$B$3*100)</f>
        <v>56.805555555555557</v>
      </c>
      <c r="J228" s="5">
        <v>24</v>
      </c>
      <c r="K228" s="5" t="s">
        <v>919</v>
      </c>
      <c r="L228" s="5" t="s">
        <v>920</v>
      </c>
      <c r="M228" s="5"/>
    </row>
    <row r="229" spans="1:13" ht="15">
      <c r="A229" s="5" t="str">
        <f t="shared" si="3"/>
        <v>완료</v>
      </c>
      <c r="B229" s="5" t="s">
        <v>588</v>
      </c>
      <c r="C229" s="5" t="s">
        <v>588</v>
      </c>
      <c r="D229" s="5" t="s">
        <v>589</v>
      </c>
      <c r="E229" s="5" t="s">
        <v>582</v>
      </c>
      <c r="F229" s="8">
        <f>IFERROR(AVERAGEIF(Station_Visual_Nodes!$D:$D,B229,Station_Visual_Nodes!$I:$I),"")</f>
        <v>3140</v>
      </c>
      <c r="G229" s="8">
        <f>IFERROR(AVERAGEIF(Station_Visual_Nodes!$D:$D,B229,Station_Visual_Nodes!$J:$J),"")</f>
        <v>1636</v>
      </c>
      <c r="H229" s="11">
        <f>IF(F229="","",F229/Config!$B$2*100)</f>
        <v>61.328125</v>
      </c>
      <c r="I229" s="11">
        <f>IF(G229="","",G229/Config!$B$3*100)</f>
        <v>56.805555555555557</v>
      </c>
      <c r="J229" s="5">
        <v>24</v>
      </c>
      <c r="K229" s="5" t="s">
        <v>919</v>
      </c>
      <c r="L229" s="5" t="s">
        <v>920</v>
      </c>
      <c r="M229" s="5"/>
    </row>
    <row r="230" spans="1:13" ht="15">
      <c r="A230" s="5" t="str">
        <f t="shared" si="3"/>
        <v>완료</v>
      </c>
      <c r="B230" s="5" t="s">
        <v>590</v>
      </c>
      <c r="C230" s="5" t="s">
        <v>590</v>
      </c>
      <c r="D230" s="5" t="s">
        <v>591</v>
      </c>
      <c r="E230" s="5" t="s">
        <v>582</v>
      </c>
      <c r="F230" s="8">
        <f>IFERROR(AVERAGEIF(Station_Visual_Nodes!$D:$D,B230,Station_Visual_Nodes!$I:$I),"")</f>
        <v>3130</v>
      </c>
      <c r="G230" s="8">
        <f>IFERROR(AVERAGEIF(Station_Visual_Nodes!$D:$D,B230,Station_Visual_Nodes!$J:$J),"")</f>
        <v>1964</v>
      </c>
      <c r="H230" s="11">
        <f>IF(F230="","",F230/Config!$B$2*100)</f>
        <v>61.1328125</v>
      </c>
      <c r="I230" s="11">
        <f>IF(G230="","",G230/Config!$B$3*100)</f>
        <v>68.194444444444443</v>
      </c>
      <c r="J230" s="5">
        <v>24</v>
      </c>
      <c r="K230" s="5" t="s">
        <v>919</v>
      </c>
      <c r="L230" s="5" t="s">
        <v>920</v>
      </c>
      <c r="M230" s="5"/>
    </row>
    <row r="231" spans="1:13" ht="15">
      <c r="A231" s="5" t="str">
        <f t="shared" si="3"/>
        <v>완료</v>
      </c>
      <c r="B231" s="5" t="s">
        <v>592</v>
      </c>
      <c r="C231" s="5" t="s">
        <v>592</v>
      </c>
      <c r="D231" s="5" t="s">
        <v>593</v>
      </c>
      <c r="E231" s="5" t="s">
        <v>582</v>
      </c>
      <c r="F231" s="8">
        <f>IFERROR(AVERAGEIF(Station_Visual_Nodes!$D:$D,B231,Station_Visual_Nodes!$I:$I),"")</f>
        <v>3216</v>
      </c>
      <c r="G231" s="8">
        <f>IFERROR(AVERAGEIF(Station_Visual_Nodes!$D:$D,B231,Station_Visual_Nodes!$J:$J),"")</f>
        <v>2052</v>
      </c>
      <c r="H231" s="11">
        <f>IF(F231="","",F231/Config!$B$2*100)</f>
        <v>62.812500000000007</v>
      </c>
      <c r="I231" s="11">
        <f>IF(G231="","",G231/Config!$B$3*100)</f>
        <v>71.25</v>
      </c>
      <c r="J231" s="5">
        <v>24</v>
      </c>
      <c r="K231" s="5" t="s">
        <v>919</v>
      </c>
      <c r="L231" s="5" t="s">
        <v>920</v>
      </c>
      <c r="M231" s="5"/>
    </row>
    <row r="232" spans="1:13" ht="15">
      <c r="A232" s="5" t="str">
        <f t="shared" si="3"/>
        <v>완료</v>
      </c>
      <c r="B232" s="5" t="s">
        <v>594</v>
      </c>
      <c r="C232" s="5" t="s">
        <v>594</v>
      </c>
      <c r="D232" s="5" t="s">
        <v>595</v>
      </c>
      <c r="E232" s="5" t="s">
        <v>582</v>
      </c>
      <c r="F232" s="8">
        <f>IFERROR(AVERAGEIF(Station_Visual_Nodes!$D:$D,B232,Station_Visual_Nodes!$I:$I),"")</f>
        <v>3360</v>
      </c>
      <c r="G232" s="8">
        <f>IFERROR(AVERAGEIF(Station_Visual_Nodes!$D:$D,B232,Station_Visual_Nodes!$J:$J),"")</f>
        <v>2204</v>
      </c>
      <c r="H232" s="11">
        <f>IF(F232="","",F232/Config!$B$2*100)</f>
        <v>65.625</v>
      </c>
      <c r="I232" s="11">
        <f>IF(G232="","",G232/Config!$B$3*100)</f>
        <v>76.527777777777771</v>
      </c>
      <c r="J232" s="5">
        <v>24</v>
      </c>
      <c r="K232" s="5" t="s">
        <v>919</v>
      </c>
      <c r="L232" s="5" t="s">
        <v>920</v>
      </c>
      <c r="M232" s="5"/>
    </row>
    <row r="233" spans="1:13" ht="15">
      <c r="A233" s="5" t="str">
        <f t="shared" si="3"/>
        <v>완료</v>
      </c>
      <c r="B233" s="5" t="s">
        <v>596</v>
      </c>
      <c r="C233" s="5" t="s">
        <v>596</v>
      </c>
      <c r="D233" s="5" t="s">
        <v>597</v>
      </c>
      <c r="E233" s="5" t="s">
        <v>582</v>
      </c>
      <c r="F233" s="8">
        <f>IFERROR(AVERAGEIF(Station_Visual_Nodes!$D:$D,B233,Station_Visual_Nodes!$I:$I),"")</f>
        <v>3420</v>
      </c>
      <c r="G233" s="8">
        <f>IFERROR(AVERAGEIF(Station_Visual_Nodes!$D:$D,B233,Station_Visual_Nodes!$J:$J),"")</f>
        <v>2264</v>
      </c>
      <c r="H233" s="11">
        <f>IF(F233="","",F233/Config!$B$2*100)</f>
        <v>66.796875</v>
      </c>
      <c r="I233" s="11">
        <f>IF(G233="","",G233/Config!$B$3*100)</f>
        <v>78.611111111111114</v>
      </c>
      <c r="J233" s="5">
        <v>24</v>
      </c>
      <c r="K233" s="5" t="s">
        <v>919</v>
      </c>
      <c r="L233" s="5" t="s">
        <v>920</v>
      </c>
      <c r="M233" s="5"/>
    </row>
    <row r="234" spans="1:13" ht="15">
      <c r="A234" s="5" t="str">
        <f t="shared" si="3"/>
        <v>완료</v>
      </c>
      <c r="B234" s="5" t="s">
        <v>598</v>
      </c>
      <c r="C234" s="5" t="s">
        <v>598</v>
      </c>
      <c r="D234" s="5" t="s">
        <v>599</v>
      </c>
      <c r="E234" s="5" t="s">
        <v>582</v>
      </c>
      <c r="F234" s="8">
        <f>IFERROR(AVERAGEIF(Station_Visual_Nodes!$D:$D,B234,Station_Visual_Nodes!$I:$I),"")</f>
        <v>3480</v>
      </c>
      <c r="G234" s="8">
        <f>IFERROR(AVERAGEIF(Station_Visual_Nodes!$D:$D,B234,Station_Visual_Nodes!$J:$J),"")</f>
        <v>2328</v>
      </c>
      <c r="H234" s="11">
        <f>IF(F234="","",F234/Config!$B$2*100)</f>
        <v>67.96875</v>
      </c>
      <c r="I234" s="11">
        <f>IF(G234="","",G234/Config!$B$3*100)</f>
        <v>80.833333333333329</v>
      </c>
      <c r="J234" s="5">
        <v>24</v>
      </c>
      <c r="K234" s="5" t="s">
        <v>919</v>
      </c>
      <c r="L234" s="5" t="s">
        <v>920</v>
      </c>
      <c r="M234" s="5"/>
    </row>
    <row r="235" spans="1:13" ht="15">
      <c r="A235" s="5" t="str">
        <f t="shared" si="3"/>
        <v>완료</v>
      </c>
      <c r="B235" s="5" t="s">
        <v>600</v>
      </c>
      <c r="C235" s="5" t="s">
        <v>600</v>
      </c>
      <c r="D235" s="5" t="s">
        <v>601</v>
      </c>
      <c r="E235" s="5" t="s">
        <v>582</v>
      </c>
      <c r="F235" s="8">
        <f>IFERROR(AVERAGEIF(Station_Visual_Nodes!$D:$D,B235,Station_Visual_Nodes!$I:$I),"")</f>
        <v>3628</v>
      </c>
      <c r="G235" s="8">
        <f>IFERROR(AVERAGEIF(Station_Visual_Nodes!$D:$D,B235,Station_Visual_Nodes!$J:$J),"")</f>
        <v>2328</v>
      </c>
      <c r="H235" s="11">
        <f>IF(F235="","",F235/Config!$B$2*100)</f>
        <v>70.859375</v>
      </c>
      <c r="I235" s="11">
        <f>IF(G235="","",G235/Config!$B$3*100)</f>
        <v>80.833333333333329</v>
      </c>
      <c r="J235" s="5">
        <v>24</v>
      </c>
      <c r="K235" s="5" t="s">
        <v>919</v>
      </c>
      <c r="L235" s="5" t="s">
        <v>920</v>
      </c>
      <c r="M235" s="5"/>
    </row>
    <row r="236" spans="1:13" ht="15">
      <c r="A236" s="5" t="str">
        <f t="shared" si="3"/>
        <v>완료</v>
      </c>
      <c r="B236" s="5" t="s">
        <v>602</v>
      </c>
      <c r="C236" s="5" t="s">
        <v>602</v>
      </c>
      <c r="D236" s="5" t="s">
        <v>603</v>
      </c>
      <c r="E236" s="5" t="s">
        <v>582</v>
      </c>
      <c r="F236" s="8">
        <f>IFERROR(AVERAGEIF(Station_Visual_Nodes!$D:$D,B236,Station_Visual_Nodes!$I:$I),"")</f>
        <v>3768</v>
      </c>
      <c r="G236" s="8">
        <f>IFERROR(AVERAGEIF(Station_Visual_Nodes!$D:$D,B236,Station_Visual_Nodes!$J:$J),"")</f>
        <v>2328</v>
      </c>
      <c r="H236" s="11">
        <f>IF(F236="","",F236/Config!$B$2*100)</f>
        <v>73.59375</v>
      </c>
      <c r="I236" s="11">
        <f>IF(G236="","",G236/Config!$B$3*100)</f>
        <v>80.833333333333329</v>
      </c>
      <c r="J236" s="5">
        <v>24</v>
      </c>
      <c r="K236" s="5" t="s">
        <v>919</v>
      </c>
      <c r="L236" s="5" t="s">
        <v>920</v>
      </c>
      <c r="M236" s="5"/>
    </row>
    <row r="237" spans="1:13" ht="15">
      <c r="A237" s="5" t="str">
        <f t="shared" si="3"/>
        <v>완료</v>
      </c>
      <c r="B237" s="5" t="s">
        <v>604</v>
      </c>
      <c r="C237" s="5" t="s">
        <v>604</v>
      </c>
      <c r="D237" s="5" t="s">
        <v>605</v>
      </c>
      <c r="E237" s="5" t="s">
        <v>582</v>
      </c>
      <c r="F237" s="8">
        <f>IFERROR(AVERAGEIF(Station_Visual_Nodes!$D:$D,B237,Station_Visual_Nodes!$I:$I),"")</f>
        <v>3768</v>
      </c>
      <c r="G237" s="8">
        <f>IFERROR(AVERAGEIF(Station_Visual_Nodes!$D:$D,B237,Station_Visual_Nodes!$J:$J),"")</f>
        <v>2436</v>
      </c>
      <c r="H237" s="11">
        <f>IF(F237="","",F237/Config!$B$2*100)</f>
        <v>73.59375</v>
      </c>
      <c r="I237" s="11">
        <f>IF(G237="","",G237/Config!$B$3*100)</f>
        <v>84.583333333333329</v>
      </c>
      <c r="J237" s="5">
        <v>24</v>
      </c>
      <c r="K237" s="5" t="s">
        <v>919</v>
      </c>
      <c r="L237" s="5" t="s">
        <v>920</v>
      </c>
      <c r="M237" s="5"/>
    </row>
    <row r="238" spans="1:13" ht="15">
      <c r="A238" s="5" t="str">
        <f t="shared" si="3"/>
        <v>완료</v>
      </c>
      <c r="B238" s="5" t="s">
        <v>606</v>
      </c>
      <c r="C238" s="5" t="s">
        <v>606</v>
      </c>
      <c r="D238" s="5" t="s">
        <v>607</v>
      </c>
      <c r="E238" s="5" t="s">
        <v>582</v>
      </c>
      <c r="F238" s="8">
        <f>IFERROR(AVERAGEIF(Station_Visual_Nodes!$D:$D,B238,Station_Visual_Nodes!$I:$I),"")</f>
        <v>3768</v>
      </c>
      <c r="G238" s="8">
        <f>IFERROR(AVERAGEIF(Station_Visual_Nodes!$D:$D,B238,Station_Visual_Nodes!$J:$J),"")</f>
        <v>2544</v>
      </c>
      <c r="H238" s="11">
        <f>IF(F238="","",F238/Config!$B$2*100)</f>
        <v>73.59375</v>
      </c>
      <c r="I238" s="11">
        <f>IF(G238="","",G238/Config!$B$3*100)</f>
        <v>88.333333333333329</v>
      </c>
      <c r="J238" s="5">
        <v>24</v>
      </c>
      <c r="K238" s="5" t="s">
        <v>919</v>
      </c>
      <c r="L238" s="5" t="s">
        <v>920</v>
      </c>
      <c r="M238" s="5"/>
    </row>
    <row r="239" spans="1:13" ht="15">
      <c r="A239" s="5" t="str">
        <f t="shared" si="3"/>
        <v>완료</v>
      </c>
      <c r="B239" s="5" t="s">
        <v>608</v>
      </c>
      <c r="C239" s="5" t="s">
        <v>608</v>
      </c>
      <c r="D239" s="5" t="s">
        <v>609</v>
      </c>
      <c r="E239" s="5" t="s">
        <v>582</v>
      </c>
      <c r="F239" s="8">
        <f>IFERROR(AVERAGEIF(Station_Visual_Nodes!$D:$D,B239,Station_Visual_Nodes!$I:$I),"")</f>
        <v>3768</v>
      </c>
      <c r="G239" s="8">
        <f>IFERROR(AVERAGEIF(Station_Visual_Nodes!$D:$D,B239,Station_Visual_Nodes!$J:$J),"")</f>
        <v>2652</v>
      </c>
      <c r="H239" s="11">
        <f>IF(F239="","",F239/Config!$B$2*100)</f>
        <v>73.59375</v>
      </c>
      <c r="I239" s="11">
        <f>IF(G239="","",G239/Config!$B$3*100)</f>
        <v>92.083333333333329</v>
      </c>
      <c r="J239" s="5">
        <v>24</v>
      </c>
      <c r="K239" s="5" t="s">
        <v>919</v>
      </c>
      <c r="L239" s="5" t="s">
        <v>920</v>
      </c>
      <c r="M239" s="5"/>
    </row>
    <row r="240" spans="1:13" ht="15">
      <c r="A240" s="5" t="str">
        <f t="shared" si="3"/>
        <v>완료</v>
      </c>
      <c r="B240" s="5" t="s">
        <v>610</v>
      </c>
      <c r="C240" s="5" t="s">
        <v>610</v>
      </c>
      <c r="D240" s="5" t="s">
        <v>611</v>
      </c>
      <c r="E240" s="5" t="s">
        <v>582</v>
      </c>
      <c r="F240" s="8">
        <f>IFERROR(AVERAGEIF(Station_Visual_Nodes!$D:$D,B240,Station_Visual_Nodes!$I:$I),"")</f>
        <v>3580</v>
      </c>
      <c r="G240" s="8">
        <f>IFERROR(AVERAGEIF(Station_Visual_Nodes!$D:$D,B240,Station_Visual_Nodes!$J:$J),"")</f>
        <v>2652</v>
      </c>
      <c r="H240" s="11">
        <f>IF(F240="","",F240/Config!$B$2*100)</f>
        <v>69.921875</v>
      </c>
      <c r="I240" s="11">
        <f>IF(G240="","",G240/Config!$B$3*100)</f>
        <v>92.083333333333329</v>
      </c>
      <c r="J240" s="5">
        <v>24</v>
      </c>
      <c r="K240" s="5" t="s">
        <v>919</v>
      </c>
      <c r="L240" s="5" t="s">
        <v>920</v>
      </c>
      <c r="M240" s="5"/>
    </row>
    <row r="241" spans="1:13" ht="15">
      <c r="A241" s="5" t="str">
        <f t="shared" si="3"/>
        <v>완료</v>
      </c>
      <c r="B241" s="5" t="s">
        <v>612</v>
      </c>
      <c r="C241" s="5" t="s">
        <v>612</v>
      </c>
      <c r="D241" s="5" t="s">
        <v>613</v>
      </c>
      <c r="E241" s="5" t="s">
        <v>582</v>
      </c>
      <c r="F241" s="8">
        <f>IFERROR(AVERAGEIF(Station_Visual_Nodes!$D:$D,B241,Station_Visual_Nodes!$I:$I),"")</f>
        <v>3392</v>
      </c>
      <c r="G241" s="8">
        <f>IFERROR(AVERAGEIF(Station_Visual_Nodes!$D:$D,B241,Station_Visual_Nodes!$J:$J),"")</f>
        <v>2652</v>
      </c>
      <c r="H241" s="11">
        <f>IF(F241="","",F241/Config!$B$2*100)</f>
        <v>66.25</v>
      </c>
      <c r="I241" s="11">
        <f>IF(G241="","",G241/Config!$B$3*100)</f>
        <v>92.083333333333329</v>
      </c>
      <c r="J241" s="5">
        <v>24</v>
      </c>
      <c r="K241" s="5" t="s">
        <v>919</v>
      </c>
      <c r="L241" s="5" t="s">
        <v>920</v>
      </c>
      <c r="M241" s="5"/>
    </row>
  </sheetData>
  <phoneticPr fontId="8" type="noConversion"/>
  <conditionalFormatting sqref="A2:A241">
    <cfRule type="expression" dxfId="3" priority="1">
      <formula>A2="완료"</formula>
    </cfRule>
    <cfRule type="expression" dxfId="2" priority="2">
      <formula>A2="미작업"</formula>
    </cfRule>
  </conditionalFormatting>
  <dataValidations count="1">
    <dataValidation type="list" sqref="K2:K241" xr:uid="{00000000-0002-0000-0400-000000000000}">
      <formula1>"circle,rect,polygon"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41"/>
  <sheetViews>
    <sheetView workbookViewId="0"/>
  </sheetViews>
  <sheetFormatPr defaultRowHeight="14.25"/>
  <cols>
    <col min="1" max="1" width="12" customWidth="1"/>
    <col min="2" max="3" width="18" customWidth="1"/>
    <col min="4" max="4" width="24" customWidth="1"/>
    <col min="5" max="5" width="15" customWidth="1"/>
    <col min="6" max="9" width="13" customWidth="1"/>
    <col min="10" max="11" width="14" customWidth="1"/>
    <col min="12" max="12" width="16" customWidth="1"/>
    <col min="13" max="13" width="14" customWidth="1"/>
    <col min="14" max="14" width="26" customWidth="1"/>
    <col min="15" max="15" width="30" customWidth="1"/>
  </cols>
  <sheetData>
    <row r="1" spans="1:26" ht="27.95" customHeight="1">
      <c r="A1" s="12" t="s">
        <v>614</v>
      </c>
      <c r="B1" s="12" t="s">
        <v>46</v>
      </c>
      <c r="C1" s="12" t="s">
        <v>47</v>
      </c>
      <c r="D1" s="12" t="s">
        <v>48</v>
      </c>
      <c r="E1" s="12" t="s">
        <v>49</v>
      </c>
      <c r="F1" s="16" t="s">
        <v>921</v>
      </c>
      <c r="G1" s="16" t="s">
        <v>922</v>
      </c>
      <c r="H1" s="12" t="s">
        <v>923</v>
      </c>
      <c r="I1" s="12" t="s">
        <v>924</v>
      </c>
      <c r="J1" s="12" t="s">
        <v>925</v>
      </c>
      <c r="K1" s="12" t="s">
        <v>926</v>
      </c>
      <c r="L1" s="12" t="s">
        <v>927</v>
      </c>
      <c r="M1" s="12" t="s">
        <v>928</v>
      </c>
      <c r="N1" s="12" t="s">
        <v>917</v>
      </c>
      <c r="O1" s="12" t="s">
        <v>55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">
      <c r="A2" s="5" t="str">
        <f t="shared" ref="A2:A65" si="0">IF(OR(F2="",G2=""),"미작업","완료")</f>
        <v>완료</v>
      </c>
      <c r="B2" s="5" t="s">
        <v>56</v>
      </c>
      <c r="C2" s="5" t="s">
        <v>56</v>
      </c>
      <c r="D2" s="5" t="s">
        <v>56</v>
      </c>
      <c r="E2" s="5" t="s">
        <v>57</v>
      </c>
      <c r="F2" s="9">
        <f>IFERROR(INDEX(Station_Click_Areas!$F:$F,MATCH(B2,Station_Click_Areas!$B:$B,0)),"")</f>
        <v>1916</v>
      </c>
      <c r="G2" s="9">
        <f>IFERROR(INDEX(Station_Click_Areas!$G:$G,MATCH(B2,Station_Click_Areas!$B:$B,0)),"")</f>
        <v>1308</v>
      </c>
      <c r="H2" s="11">
        <f>IF(F2="","",F2/Config!$B$2*100)</f>
        <v>37.421875</v>
      </c>
      <c r="I2" s="11">
        <f>IF(G2="","",G2/Config!$B$3*100)</f>
        <v>45.416666666666664</v>
      </c>
      <c r="J2" s="5">
        <v>12</v>
      </c>
      <c r="K2" s="5" t="s">
        <v>929</v>
      </c>
      <c r="L2" s="5" t="s">
        <v>930</v>
      </c>
      <c r="M2" s="5">
        <v>0</v>
      </c>
      <c r="N2" s="5" t="s">
        <v>931</v>
      </c>
      <c r="O2" s="5"/>
    </row>
    <row r="3" spans="1:26" ht="15">
      <c r="A3" s="5" t="str">
        <f t="shared" si="0"/>
        <v>완료</v>
      </c>
      <c r="B3" s="5" t="s">
        <v>59</v>
      </c>
      <c r="C3" s="5" t="s">
        <v>59</v>
      </c>
      <c r="D3" s="5" t="s">
        <v>60</v>
      </c>
      <c r="E3" s="5" t="s">
        <v>61</v>
      </c>
      <c r="F3" s="9">
        <f>IFERROR(INDEX(Station_Click_Areas!$F:$F,MATCH(B3,Station_Click_Areas!$B:$B,0)),"")</f>
        <v>1916</v>
      </c>
      <c r="G3" s="9">
        <f>IFERROR(INDEX(Station_Click_Areas!$G:$G,MATCH(B3,Station_Click_Areas!$B:$B,0)),"")</f>
        <v>1144</v>
      </c>
      <c r="H3" s="11">
        <f>IF(F3="","",F3/Config!$B$2*100)</f>
        <v>37.421875</v>
      </c>
      <c r="I3" s="11">
        <f>IF(G3="","",G3/Config!$B$3*100)</f>
        <v>39.722222222222221</v>
      </c>
      <c r="J3" s="5">
        <v>12</v>
      </c>
      <c r="K3" s="5" t="s">
        <v>929</v>
      </c>
      <c r="L3" s="5" t="s">
        <v>930</v>
      </c>
      <c r="M3" s="5">
        <v>0</v>
      </c>
      <c r="N3" s="5" t="s">
        <v>931</v>
      </c>
      <c r="O3" s="5"/>
    </row>
    <row r="4" spans="1:26" ht="15">
      <c r="A4" s="5" t="str">
        <f t="shared" si="0"/>
        <v>완료</v>
      </c>
      <c r="B4" s="5" t="s">
        <v>63</v>
      </c>
      <c r="C4" s="5" t="s">
        <v>63</v>
      </c>
      <c r="D4" s="5" t="s">
        <v>64</v>
      </c>
      <c r="E4" s="5" t="s">
        <v>65</v>
      </c>
      <c r="F4" s="9">
        <f>IFERROR(INDEX(Station_Click_Areas!$F:$F,MATCH(B4,Station_Click_Areas!$B:$B,0)),"")</f>
        <v>1916</v>
      </c>
      <c r="G4" s="9">
        <f>IFERROR(INDEX(Station_Click_Areas!$G:$G,MATCH(B4,Station_Click_Areas!$B:$B,0)),"")</f>
        <v>1048</v>
      </c>
      <c r="H4" s="11">
        <f>IF(F4="","",F4/Config!$B$2*100)</f>
        <v>37.421875</v>
      </c>
      <c r="I4" s="11">
        <f>IF(G4="","",G4/Config!$B$3*100)</f>
        <v>36.388888888888886</v>
      </c>
      <c r="J4" s="5">
        <v>10.5</v>
      </c>
      <c r="K4" s="5" t="s">
        <v>932</v>
      </c>
      <c r="L4" s="5" t="s">
        <v>930</v>
      </c>
      <c r="M4" s="5">
        <v>0</v>
      </c>
      <c r="N4" s="5" t="s">
        <v>931</v>
      </c>
      <c r="O4" s="5"/>
    </row>
    <row r="5" spans="1:26" ht="15">
      <c r="A5" s="5" t="str">
        <f t="shared" si="0"/>
        <v>완료</v>
      </c>
      <c r="B5" s="5" t="s">
        <v>67</v>
      </c>
      <c r="C5" s="5" t="s">
        <v>67</v>
      </c>
      <c r="D5" s="5" t="s">
        <v>68</v>
      </c>
      <c r="E5" s="5" t="s">
        <v>69</v>
      </c>
      <c r="F5" s="9">
        <f>IFERROR(INDEX(Station_Click_Areas!$F:$F,MATCH(B5,Station_Click_Areas!$B:$B,0)),"")</f>
        <v>2084</v>
      </c>
      <c r="G5" s="9">
        <f>IFERROR(INDEX(Station_Click_Areas!$G:$G,MATCH(B5,Station_Click_Areas!$B:$B,0)),"")</f>
        <v>980</v>
      </c>
      <c r="H5" s="11">
        <f>IF(F5="","",F5/Config!$B$2*100)</f>
        <v>40.703125</v>
      </c>
      <c r="I5" s="11">
        <f>IF(G5="","",G5/Config!$B$3*100)</f>
        <v>34.027777777777779</v>
      </c>
      <c r="J5" s="5">
        <v>13</v>
      </c>
      <c r="K5" s="5" t="s">
        <v>929</v>
      </c>
      <c r="L5" s="5" t="s">
        <v>930</v>
      </c>
      <c r="M5" s="5">
        <v>0</v>
      </c>
      <c r="N5" s="5" t="s">
        <v>931</v>
      </c>
      <c r="O5" s="5"/>
    </row>
    <row r="6" spans="1:26" ht="15">
      <c r="A6" s="5" t="str">
        <f t="shared" si="0"/>
        <v>완료</v>
      </c>
      <c r="B6" s="5" t="s">
        <v>71</v>
      </c>
      <c r="C6" s="5" t="s">
        <v>71</v>
      </c>
      <c r="D6" s="5" t="s">
        <v>72</v>
      </c>
      <c r="E6" s="5" t="s">
        <v>65</v>
      </c>
      <c r="F6" s="9">
        <f>IFERROR(INDEX(Station_Click_Areas!$F:$F,MATCH(B6,Station_Click_Areas!$B:$B,0)),"")</f>
        <v>2240</v>
      </c>
      <c r="G6" s="9">
        <f>IFERROR(INDEX(Station_Click_Areas!$G:$G,MATCH(B6,Station_Click_Areas!$B:$B,0)),"")</f>
        <v>980</v>
      </c>
      <c r="H6" s="11">
        <f>IF(F6="","",F6/Config!$B$2*100)</f>
        <v>43.75</v>
      </c>
      <c r="I6" s="11">
        <f>IF(G6="","",G6/Config!$B$3*100)</f>
        <v>34.027777777777779</v>
      </c>
      <c r="J6" s="5">
        <v>10.5</v>
      </c>
      <c r="K6" s="5" t="s">
        <v>932</v>
      </c>
      <c r="L6" s="5" t="s">
        <v>930</v>
      </c>
      <c r="M6" s="5">
        <v>0</v>
      </c>
      <c r="N6" s="5" t="s">
        <v>931</v>
      </c>
      <c r="O6" s="5"/>
    </row>
    <row r="7" spans="1:26" ht="15">
      <c r="A7" s="5" t="str">
        <f t="shared" si="0"/>
        <v>완료</v>
      </c>
      <c r="B7" s="5" t="s">
        <v>73</v>
      </c>
      <c r="C7" s="5" t="s">
        <v>73</v>
      </c>
      <c r="D7" s="5" t="s">
        <v>74</v>
      </c>
      <c r="E7" s="5" t="s">
        <v>57</v>
      </c>
      <c r="F7" s="9">
        <f>IFERROR(INDEX(Station_Click_Areas!$F:$F,MATCH(B7,Station_Click_Areas!$B:$B,0)),"")</f>
        <v>2328</v>
      </c>
      <c r="G7" s="9">
        <f>IFERROR(INDEX(Station_Click_Areas!$G:$G,MATCH(B7,Station_Click_Areas!$B:$B,0)),"")</f>
        <v>980</v>
      </c>
      <c r="H7" s="11">
        <f>IF(F7="","",F7/Config!$B$2*100)</f>
        <v>45.46875</v>
      </c>
      <c r="I7" s="11">
        <f>IF(G7="","",G7/Config!$B$3*100)</f>
        <v>34.027777777777779</v>
      </c>
      <c r="J7" s="5">
        <v>12</v>
      </c>
      <c r="K7" s="5" t="s">
        <v>929</v>
      </c>
      <c r="L7" s="5" t="s">
        <v>930</v>
      </c>
      <c r="M7" s="5">
        <v>0</v>
      </c>
      <c r="N7" s="5" t="s">
        <v>931</v>
      </c>
      <c r="O7" s="5"/>
    </row>
    <row r="8" spans="1:26" ht="15">
      <c r="A8" s="5" t="str">
        <f t="shared" si="0"/>
        <v>완료</v>
      </c>
      <c r="B8" s="5" t="s">
        <v>75</v>
      </c>
      <c r="C8" s="5" t="s">
        <v>75</v>
      </c>
      <c r="D8" s="5" t="s">
        <v>76</v>
      </c>
      <c r="E8" s="5" t="s">
        <v>77</v>
      </c>
      <c r="F8" s="9">
        <f>IFERROR(INDEX(Station_Click_Areas!$F:$F,MATCH(B8,Station_Click_Areas!$B:$B,0)),"")</f>
        <v>2528</v>
      </c>
      <c r="G8" s="9">
        <f>IFERROR(INDEX(Station_Click_Areas!$G:$G,MATCH(B8,Station_Click_Areas!$B:$B,0)),"")</f>
        <v>980</v>
      </c>
      <c r="H8" s="11">
        <f>IF(F8="","",F8/Config!$B$2*100)</f>
        <v>49.375</v>
      </c>
      <c r="I8" s="11">
        <f>IF(G8="","",G8/Config!$B$3*100)</f>
        <v>34.027777777777779</v>
      </c>
      <c r="J8" s="5">
        <v>12</v>
      </c>
      <c r="K8" s="5" t="s">
        <v>929</v>
      </c>
      <c r="L8" s="5" t="s">
        <v>930</v>
      </c>
      <c r="M8" s="5">
        <v>0</v>
      </c>
      <c r="N8" s="5" t="s">
        <v>931</v>
      </c>
      <c r="O8" s="5"/>
    </row>
    <row r="9" spans="1:26" ht="15">
      <c r="A9" s="5" t="str">
        <f t="shared" si="0"/>
        <v>완료</v>
      </c>
      <c r="B9" s="5" t="s">
        <v>79</v>
      </c>
      <c r="C9" s="5" t="s">
        <v>79</v>
      </c>
      <c r="D9" s="5" t="s">
        <v>80</v>
      </c>
      <c r="E9" s="5" t="s">
        <v>61</v>
      </c>
      <c r="F9" s="9">
        <f>IFERROR(INDEX(Station_Click_Areas!$F:$F,MATCH(B9,Station_Click_Areas!$B:$B,0)),"")</f>
        <v>2712</v>
      </c>
      <c r="G9" s="9">
        <f>IFERROR(INDEX(Station_Click_Areas!$G:$G,MATCH(B9,Station_Click_Areas!$B:$B,0)),"")</f>
        <v>980</v>
      </c>
      <c r="H9" s="11">
        <f>IF(F9="","",F9/Config!$B$2*100)</f>
        <v>52.96875</v>
      </c>
      <c r="I9" s="11">
        <f>IF(G9="","",G9/Config!$B$3*100)</f>
        <v>34.027777777777779</v>
      </c>
      <c r="J9" s="5">
        <v>12</v>
      </c>
      <c r="K9" s="5" t="s">
        <v>929</v>
      </c>
      <c r="L9" s="5" t="s">
        <v>930</v>
      </c>
      <c r="M9" s="5">
        <v>0</v>
      </c>
      <c r="N9" s="5" t="s">
        <v>931</v>
      </c>
      <c r="O9" s="5"/>
    </row>
    <row r="10" spans="1:26" ht="15">
      <c r="A10" s="5" t="str">
        <f t="shared" si="0"/>
        <v>완료</v>
      </c>
      <c r="B10" s="5" t="s">
        <v>82</v>
      </c>
      <c r="C10" s="5" t="s">
        <v>82</v>
      </c>
      <c r="D10" s="5" t="s">
        <v>83</v>
      </c>
      <c r="E10" s="5" t="s">
        <v>65</v>
      </c>
      <c r="F10" s="9">
        <f>IFERROR(INDEX(Station_Click_Areas!$F:$F,MATCH(B10,Station_Click_Areas!$B:$B,0)),"")</f>
        <v>2864</v>
      </c>
      <c r="G10" s="9">
        <f>IFERROR(INDEX(Station_Click_Areas!$G:$G,MATCH(B10,Station_Click_Areas!$B:$B,0)),"")</f>
        <v>980</v>
      </c>
      <c r="H10" s="11">
        <f>IF(F10="","",F10/Config!$B$2*100)</f>
        <v>55.937499999999993</v>
      </c>
      <c r="I10" s="11">
        <f>IF(G10="","",G10/Config!$B$3*100)</f>
        <v>34.027777777777779</v>
      </c>
      <c r="J10" s="5">
        <v>10.5</v>
      </c>
      <c r="K10" s="5" t="s">
        <v>932</v>
      </c>
      <c r="L10" s="5" t="s">
        <v>930</v>
      </c>
      <c r="M10" s="5">
        <v>0</v>
      </c>
      <c r="N10" s="5" t="s">
        <v>931</v>
      </c>
      <c r="O10" s="5"/>
    </row>
    <row r="11" spans="1:26" ht="15">
      <c r="A11" s="5" t="str">
        <f t="shared" si="0"/>
        <v>완료</v>
      </c>
      <c r="B11" s="5" t="s">
        <v>84</v>
      </c>
      <c r="C11" s="5" t="s">
        <v>84</v>
      </c>
      <c r="D11" s="5" t="s">
        <v>85</v>
      </c>
      <c r="E11" s="5" t="s">
        <v>65</v>
      </c>
      <c r="F11" s="9">
        <f>IFERROR(INDEX(Station_Click_Areas!$F:$F,MATCH(B11,Station_Click_Areas!$B:$B,0)),"")</f>
        <v>3020</v>
      </c>
      <c r="G11" s="9">
        <f>IFERROR(INDEX(Station_Click_Areas!$G:$G,MATCH(B11,Station_Click_Areas!$B:$B,0)),"")</f>
        <v>980</v>
      </c>
      <c r="H11" s="11">
        <f>IF(F11="","",F11/Config!$B$2*100)</f>
        <v>58.984375</v>
      </c>
      <c r="I11" s="11">
        <f>IF(G11="","",G11/Config!$B$3*100)</f>
        <v>34.027777777777779</v>
      </c>
      <c r="J11" s="5">
        <v>10.5</v>
      </c>
      <c r="K11" s="5" t="s">
        <v>932</v>
      </c>
      <c r="L11" s="5" t="s">
        <v>930</v>
      </c>
      <c r="M11" s="5">
        <v>0</v>
      </c>
      <c r="N11" s="5" t="s">
        <v>931</v>
      </c>
      <c r="O11" s="5"/>
    </row>
    <row r="12" spans="1:26" ht="15">
      <c r="A12" s="5" t="str">
        <f t="shared" si="0"/>
        <v>완료</v>
      </c>
      <c r="B12" s="5" t="s">
        <v>87</v>
      </c>
      <c r="C12" s="5" t="s">
        <v>87</v>
      </c>
      <c r="D12" s="5" t="s">
        <v>88</v>
      </c>
      <c r="E12" s="5" t="s">
        <v>89</v>
      </c>
      <c r="F12" s="9">
        <f>IFERROR(INDEX(Station_Click_Areas!$F:$F,MATCH(B12,Station_Click_Areas!$B:$B,0)),"")</f>
        <v>2000</v>
      </c>
      <c r="G12" s="9">
        <f>IFERROR(INDEX(Station_Click_Areas!$G:$G,MATCH(B12,Station_Click_Areas!$B:$B,0)),"")</f>
        <v>1144</v>
      </c>
      <c r="H12" s="11">
        <f>IF(F12="","",F12/Config!$B$2*100)</f>
        <v>39.0625</v>
      </c>
      <c r="I12" s="11">
        <f>IF(G12="","",G12/Config!$B$3*100)</f>
        <v>39.722222222222221</v>
      </c>
      <c r="J12" s="5">
        <v>10.5</v>
      </c>
      <c r="K12" s="5" t="s">
        <v>932</v>
      </c>
      <c r="L12" s="5" t="s">
        <v>930</v>
      </c>
      <c r="M12" s="5">
        <v>0</v>
      </c>
      <c r="N12" s="5" t="s">
        <v>931</v>
      </c>
      <c r="O12" s="5"/>
    </row>
    <row r="13" spans="1:26" ht="15">
      <c r="A13" s="5" t="str">
        <f t="shared" si="0"/>
        <v>완료</v>
      </c>
      <c r="B13" s="5" t="s">
        <v>91</v>
      </c>
      <c r="C13" s="5" t="s">
        <v>91</v>
      </c>
      <c r="D13" s="5" t="s">
        <v>92</v>
      </c>
      <c r="E13" s="5" t="s">
        <v>93</v>
      </c>
      <c r="F13" s="9">
        <f>IFERROR(INDEX(Station_Click_Areas!$F:$F,MATCH(B13,Station_Click_Areas!$B:$B,0)),"")</f>
        <v>2084</v>
      </c>
      <c r="G13" s="9">
        <f>IFERROR(INDEX(Station_Click_Areas!$G:$G,MATCH(B13,Station_Click_Areas!$B:$B,0)),"")</f>
        <v>1144</v>
      </c>
      <c r="H13" s="11">
        <f>IF(F13="","",F13/Config!$B$2*100)</f>
        <v>40.703125</v>
      </c>
      <c r="I13" s="11">
        <f>IF(G13="","",G13/Config!$B$3*100)</f>
        <v>39.722222222222221</v>
      </c>
      <c r="J13" s="5">
        <v>12</v>
      </c>
      <c r="K13" s="5" t="s">
        <v>929</v>
      </c>
      <c r="L13" s="5" t="s">
        <v>930</v>
      </c>
      <c r="M13" s="5">
        <v>0</v>
      </c>
      <c r="N13" s="5" t="s">
        <v>931</v>
      </c>
      <c r="O13" s="5"/>
    </row>
    <row r="14" spans="1:26" ht="15">
      <c r="A14" s="5" t="str">
        <f t="shared" si="0"/>
        <v>완료</v>
      </c>
      <c r="B14" s="5" t="s">
        <v>95</v>
      </c>
      <c r="C14" s="5" t="s">
        <v>95</v>
      </c>
      <c r="D14" s="5" t="s">
        <v>96</v>
      </c>
      <c r="E14" s="5" t="s">
        <v>97</v>
      </c>
      <c r="F14" s="9">
        <f>IFERROR(INDEX(Station_Click_Areas!$F:$F,MATCH(B14,Station_Click_Areas!$B:$B,0)),"")</f>
        <v>2200</v>
      </c>
      <c r="G14" s="9">
        <f>IFERROR(INDEX(Station_Click_Areas!$G:$G,MATCH(B14,Station_Click_Areas!$B:$B,0)),"")</f>
        <v>1144</v>
      </c>
      <c r="H14" s="11">
        <f>IF(F14="","",F14/Config!$B$2*100)</f>
        <v>42.96875</v>
      </c>
      <c r="I14" s="11">
        <f>IF(G14="","",G14/Config!$B$3*100)</f>
        <v>39.722222222222221</v>
      </c>
      <c r="J14" s="5">
        <v>12</v>
      </c>
      <c r="K14" s="5" t="s">
        <v>929</v>
      </c>
      <c r="L14" s="5" t="s">
        <v>930</v>
      </c>
      <c r="M14" s="5">
        <v>0</v>
      </c>
      <c r="N14" s="5" t="s">
        <v>931</v>
      </c>
      <c r="O14" s="5"/>
    </row>
    <row r="15" spans="1:26" ht="15">
      <c r="A15" s="5" t="str">
        <f t="shared" si="0"/>
        <v>완료</v>
      </c>
      <c r="B15" s="5" t="s">
        <v>99</v>
      </c>
      <c r="C15" s="5" t="s">
        <v>99</v>
      </c>
      <c r="D15" s="5" t="s">
        <v>100</v>
      </c>
      <c r="E15" s="5" t="s">
        <v>101</v>
      </c>
      <c r="F15" s="9">
        <f>IFERROR(INDEX(Station_Click_Areas!$F:$F,MATCH(B15,Station_Click_Areas!$B:$B,0)),"")</f>
        <v>2328</v>
      </c>
      <c r="G15" s="9">
        <f>IFERROR(INDEX(Station_Click_Areas!$G:$G,MATCH(B15,Station_Click_Areas!$B:$B,0)),"")</f>
        <v>1144</v>
      </c>
      <c r="H15" s="11">
        <f>IF(F15="","",F15/Config!$B$2*100)</f>
        <v>45.46875</v>
      </c>
      <c r="I15" s="11">
        <f>IF(G15="","",G15/Config!$B$3*100)</f>
        <v>39.722222222222221</v>
      </c>
      <c r="J15" s="5">
        <v>13</v>
      </c>
      <c r="K15" s="5" t="s">
        <v>929</v>
      </c>
      <c r="L15" s="5" t="s">
        <v>930</v>
      </c>
      <c r="M15" s="5">
        <v>0</v>
      </c>
      <c r="N15" s="5" t="s">
        <v>931</v>
      </c>
      <c r="O15" s="5"/>
    </row>
    <row r="16" spans="1:26" ht="15">
      <c r="A16" s="5" t="str">
        <f t="shared" si="0"/>
        <v>완료</v>
      </c>
      <c r="B16" s="5" t="s">
        <v>104</v>
      </c>
      <c r="C16" s="5" t="s">
        <v>104</v>
      </c>
      <c r="D16" s="5" t="s">
        <v>105</v>
      </c>
      <c r="E16" s="5" t="s">
        <v>106</v>
      </c>
      <c r="F16" s="9">
        <f>IFERROR(INDEX(Station_Click_Areas!$F:$F,MATCH(B16,Station_Click_Areas!$B:$B,0)),"")</f>
        <v>2528</v>
      </c>
      <c r="G16" s="9">
        <f>IFERROR(INDEX(Station_Click_Areas!$G:$G,MATCH(B16,Station_Click_Areas!$B:$B,0)),"")</f>
        <v>1144</v>
      </c>
      <c r="H16" s="11">
        <f>IF(F16="","",F16/Config!$B$2*100)</f>
        <v>49.375</v>
      </c>
      <c r="I16" s="11">
        <f>IF(G16="","",G16/Config!$B$3*100)</f>
        <v>39.722222222222221</v>
      </c>
      <c r="J16" s="5">
        <v>12</v>
      </c>
      <c r="K16" s="5" t="s">
        <v>929</v>
      </c>
      <c r="L16" s="5" t="s">
        <v>930</v>
      </c>
      <c r="M16" s="5">
        <v>0</v>
      </c>
      <c r="N16" s="5" t="s">
        <v>931</v>
      </c>
      <c r="O16" s="5"/>
    </row>
    <row r="17" spans="1:15" ht="15">
      <c r="A17" s="5" t="str">
        <f t="shared" si="0"/>
        <v>완료</v>
      </c>
      <c r="B17" s="5" t="s">
        <v>108</v>
      </c>
      <c r="C17" s="5" t="s">
        <v>108</v>
      </c>
      <c r="D17" s="5" t="s">
        <v>109</v>
      </c>
      <c r="E17" s="5" t="s">
        <v>89</v>
      </c>
      <c r="F17" s="9">
        <f>IFERROR(INDEX(Station_Click_Areas!$F:$F,MATCH(B17,Station_Click_Areas!$B:$B,0)),"")</f>
        <v>2628</v>
      </c>
      <c r="G17" s="9">
        <f>IFERROR(INDEX(Station_Click_Areas!$G:$G,MATCH(B17,Station_Click_Areas!$B:$B,0)),"")</f>
        <v>1144</v>
      </c>
      <c r="H17" s="11">
        <f>IF(F17="","",F17/Config!$B$2*100)</f>
        <v>51.328125</v>
      </c>
      <c r="I17" s="11">
        <f>IF(G17="","",G17/Config!$B$3*100)</f>
        <v>39.722222222222221</v>
      </c>
      <c r="J17" s="5">
        <v>10.5</v>
      </c>
      <c r="K17" s="5" t="s">
        <v>932</v>
      </c>
      <c r="L17" s="5" t="s">
        <v>930</v>
      </c>
      <c r="M17" s="5">
        <v>0</v>
      </c>
      <c r="N17" s="5" t="s">
        <v>931</v>
      </c>
      <c r="O17" s="5"/>
    </row>
    <row r="18" spans="1:15" ht="15">
      <c r="A18" s="5" t="str">
        <f t="shared" si="0"/>
        <v>완료</v>
      </c>
      <c r="B18" s="5" t="s">
        <v>110</v>
      </c>
      <c r="C18" s="5" t="s">
        <v>110</v>
      </c>
      <c r="D18" s="5" t="s">
        <v>111</v>
      </c>
      <c r="E18" s="5" t="s">
        <v>97</v>
      </c>
      <c r="F18" s="9">
        <f>IFERROR(INDEX(Station_Click_Areas!$F:$F,MATCH(B18,Station_Click_Areas!$B:$B,0)),"")</f>
        <v>2740</v>
      </c>
      <c r="G18" s="9">
        <f>IFERROR(INDEX(Station_Click_Areas!$G:$G,MATCH(B18,Station_Click_Areas!$B:$B,0)),"")</f>
        <v>1144</v>
      </c>
      <c r="H18" s="11">
        <f>IF(F18="","",F18/Config!$B$2*100)</f>
        <v>53.515625</v>
      </c>
      <c r="I18" s="11">
        <f>IF(G18="","",G18/Config!$B$3*100)</f>
        <v>39.722222222222221</v>
      </c>
      <c r="J18" s="5">
        <v>12</v>
      </c>
      <c r="K18" s="5" t="s">
        <v>929</v>
      </c>
      <c r="L18" s="5" t="s">
        <v>930</v>
      </c>
      <c r="M18" s="5">
        <v>0</v>
      </c>
      <c r="N18" s="5" t="s">
        <v>931</v>
      </c>
      <c r="O18" s="5"/>
    </row>
    <row r="19" spans="1:15" ht="15">
      <c r="A19" s="5" t="str">
        <f t="shared" si="0"/>
        <v>완료</v>
      </c>
      <c r="B19" s="5" t="s">
        <v>112</v>
      </c>
      <c r="C19" s="5" t="s">
        <v>112</v>
      </c>
      <c r="D19" s="5" t="s">
        <v>113</v>
      </c>
      <c r="E19" s="5" t="s">
        <v>89</v>
      </c>
      <c r="F19" s="9">
        <f>IFERROR(INDEX(Station_Click_Areas!$F:$F,MATCH(B19,Station_Click_Areas!$B:$B,0)),"")</f>
        <v>2864</v>
      </c>
      <c r="G19" s="9">
        <f>IFERROR(INDEX(Station_Click_Areas!$G:$G,MATCH(B19,Station_Click_Areas!$B:$B,0)),"")</f>
        <v>1188</v>
      </c>
      <c r="H19" s="11">
        <f>IF(F19="","",F19/Config!$B$2*100)</f>
        <v>55.937499999999993</v>
      </c>
      <c r="I19" s="11">
        <f>IF(G19="","",G19/Config!$B$3*100)</f>
        <v>41.25</v>
      </c>
      <c r="J19" s="5">
        <v>10.5</v>
      </c>
      <c r="K19" s="5" t="s">
        <v>932</v>
      </c>
      <c r="L19" s="5" t="s">
        <v>930</v>
      </c>
      <c r="M19" s="5">
        <v>0</v>
      </c>
      <c r="N19" s="5" t="s">
        <v>931</v>
      </c>
      <c r="O19" s="5"/>
    </row>
    <row r="20" spans="1:15" ht="15">
      <c r="A20" s="5" t="str">
        <f t="shared" si="0"/>
        <v>완료</v>
      </c>
      <c r="B20" s="5" t="s">
        <v>114</v>
      </c>
      <c r="C20" s="5" t="s">
        <v>114</v>
      </c>
      <c r="D20" s="5" t="s">
        <v>115</v>
      </c>
      <c r="E20" s="5" t="s">
        <v>89</v>
      </c>
      <c r="F20" s="9">
        <f>IFERROR(INDEX(Station_Click_Areas!$F:$F,MATCH(B20,Station_Click_Areas!$B:$B,0)),"")</f>
        <v>2920</v>
      </c>
      <c r="G20" s="9">
        <f>IFERROR(INDEX(Station_Click_Areas!$G:$G,MATCH(B20,Station_Click_Areas!$B:$B,0)),"")</f>
        <v>1244</v>
      </c>
      <c r="H20" s="11">
        <f>IF(F20="","",F20/Config!$B$2*100)</f>
        <v>57.03125</v>
      </c>
      <c r="I20" s="11">
        <f>IF(G20="","",G20/Config!$B$3*100)</f>
        <v>43.194444444444443</v>
      </c>
      <c r="J20" s="5">
        <v>10.5</v>
      </c>
      <c r="K20" s="5" t="s">
        <v>932</v>
      </c>
      <c r="L20" s="5" t="s">
        <v>930</v>
      </c>
      <c r="M20" s="5">
        <v>0</v>
      </c>
      <c r="N20" s="5" t="s">
        <v>931</v>
      </c>
      <c r="O20" s="5"/>
    </row>
    <row r="21" spans="1:15" ht="15">
      <c r="A21" s="5" t="str">
        <f t="shared" si="0"/>
        <v>완료</v>
      </c>
      <c r="B21" s="5" t="s">
        <v>116</v>
      </c>
      <c r="C21" s="5" t="s">
        <v>116</v>
      </c>
      <c r="D21" s="5" t="s">
        <v>117</v>
      </c>
      <c r="E21" s="5" t="s">
        <v>89</v>
      </c>
      <c r="F21" s="9">
        <f>IFERROR(INDEX(Station_Click_Areas!$F:$F,MATCH(B21,Station_Click_Areas!$B:$B,0)),"")</f>
        <v>2972</v>
      </c>
      <c r="G21" s="9">
        <f>IFERROR(INDEX(Station_Click_Areas!$G:$G,MATCH(B21,Station_Click_Areas!$B:$B,0)),"")</f>
        <v>1294</v>
      </c>
      <c r="H21" s="11">
        <f>IF(F21="","",F21/Config!$B$2*100)</f>
        <v>58.046875</v>
      </c>
      <c r="I21" s="11">
        <f>IF(G21="","",G21/Config!$B$3*100)</f>
        <v>44.930555555555557</v>
      </c>
      <c r="J21" s="5">
        <v>10.5</v>
      </c>
      <c r="K21" s="5" t="s">
        <v>932</v>
      </c>
      <c r="L21" s="5" t="s">
        <v>930</v>
      </c>
      <c r="M21" s="5">
        <v>0</v>
      </c>
      <c r="N21" s="5" t="s">
        <v>931</v>
      </c>
      <c r="O21" s="5"/>
    </row>
    <row r="22" spans="1:15" ht="15">
      <c r="A22" s="5" t="str">
        <f t="shared" si="0"/>
        <v>완료</v>
      </c>
      <c r="B22" s="5" t="s">
        <v>119</v>
      </c>
      <c r="C22" s="5" t="s">
        <v>119</v>
      </c>
      <c r="D22" s="5" t="s">
        <v>120</v>
      </c>
      <c r="E22" s="5" t="s">
        <v>121</v>
      </c>
      <c r="F22" s="9">
        <f>IFERROR(INDEX(Station_Click_Areas!$F:$F,MATCH(B22,Station_Click_Areas!$B:$B,0)),"")</f>
        <v>2972</v>
      </c>
      <c r="G22" s="9">
        <f>IFERROR(INDEX(Station_Click_Areas!$G:$G,MATCH(B22,Station_Click_Areas!$B:$B,0)),"")</f>
        <v>1468</v>
      </c>
      <c r="H22" s="11">
        <f>IF(F22="","",F22/Config!$B$2*100)</f>
        <v>58.046875</v>
      </c>
      <c r="I22" s="11">
        <f>IF(G22="","",G22/Config!$B$3*100)</f>
        <v>50.972222222222221</v>
      </c>
      <c r="J22" s="5">
        <v>12</v>
      </c>
      <c r="K22" s="5" t="s">
        <v>929</v>
      </c>
      <c r="L22" s="5" t="s">
        <v>930</v>
      </c>
      <c r="M22" s="5">
        <v>0</v>
      </c>
      <c r="N22" s="5" t="s">
        <v>931</v>
      </c>
      <c r="O22" s="5"/>
    </row>
    <row r="23" spans="1:15" ht="15">
      <c r="A23" s="5" t="str">
        <f t="shared" si="0"/>
        <v>완료</v>
      </c>
      <c r="B23" s="5" t="s">
        <v>123</v>
      </c>
      <c r="C23" s="5" t="s">
        <v>123</v>
      </c>
      <c r="D23" s="5" t="s">
        <v>124</v>
      </c>
      <c r="E23" s="5" t="s">
        <v>89</v>
      </c>
      <c r="F23" s="9">
        <f>IFERROR(INDEX(Station_Click_Areas!$F:$F,MATCH(B23,Station_Click_Areas!$B:$B,0)),"")</f>
        <v>2972</v>
      </c>
      <c r="G23" s="9">
        <f>IFERROR(INDEX(Station_Click_Areas!$G:$G,MATCH(B23,Station_Click_Areas!$B:$B,0)),"")</f>
        <v>1552</v>
      </c>
      <c r="H23" s="11">
        <f>IF(F23="","",F23/Config!$B$2*100)</f>
        <v>58.046875</v>
      </c>
      <c r="I23" s="11">
        <f>IF(G23="","",G23/Config!$B$3*100)</f>
        <v>53.888888888888886</v>
      </c>
      <c r="J23" s="5">
        <v>10.5</v>
      </c>
      <c r="K23" s="5" t="s">
        <v>932</v>
      </c>
      <c r="L23" s="5" t="s">
        <v>930</v>
      </c>
      <c r="M23" s="5">
        <v>0</v>
      </c>
      <c r="N23" s="5" t="s">
        <v>931</v>
      </c>
      <c r="O23" s="5"/>
    </row>
    <row r="24" spans="1:15" ht="15">
      <c r="A24" s="5" t="str">
        <f t="shared" si="0"/>
        <v>완료</v>
      </c>
      <c r="B24" s="5" t="s">
        <v>125</v>
      </c>
      <c r="C24" s="5" t="s">
        <v>125</v>
      </c>
      <c r="D24" s="5" t="s">
        <v>126</v>
      </c>
      <c r="E24" s="5" t="s">
        <v>89</v>
      </c>
      <c r="F24" s="9">
        <f>IFERROR(INDEX(Station_Click_Areas!$F:$F,MATCH(B24,Station_Click_Areas!$B:$B,0)),"")</f>
        <v>2972</v>
      </c>
      <c r="G24" s="9">
        <f>IFERROR(INDEX(Station_Click_Areas!$G:$G,MATCH(B24,Station_Click_Areas!$B:$B,0)),"")</f>
        <v>1628</v>
      </c>
      <c r="H24" s="11">
        <f>IF(F24="","",F24/Config!$B$2*100)</f>
        <v>58.046875</v>
      </c>
      <c r="I24" s="11">
        <f>IF(G24="","",G24/Config!$B$3*100)</f>
        <v>56.527777777777779</v>
      </c>
      <c r="J24" s="5">
        <v>10.5</v>
      </c>
      <c r="K24" s="5" t="s">
        <v>932</v>
      </c>
      <c r="L24" s="5" t="s">
        <v>930</v>
      </c>
      <c r="M24" s="5">
        <v>0</v>
      </c>
      <c r="N24" s="5" t="s">
        <v>931</v>
      </c>
      <c r="O24" s="5"/>
    </row>
    <row r="25" spans="1:15" ht="15">
      <c r="A25" s="5" t="str">
        <f t="shared" si="0"/>
        <v>완료</v>
      </c>
      <c r="B25" s="5" t="s">
        <v>127</v>
      </c>
      <c r="C25" s="5" t="s">
        <v>127</v>
      </c>
      <c r="D25" s="5" t="s">
        <v>128</v>
      </c>
      <c r="E25" s="5" t="s">
        <v>89</v>
      </c>
      <c r="F25" s="9">
        <f>IFERROR(INDEX(Station_Click_Areas!$F:$F,MATCH(B25,Station_Click_Areas!$B:$B,0)),"")</f>
        <v>2972</v>
      </c>
      <c r="G25" s="9">
        <f>IFERROR(INDEX(Station_Click_Areas!$G:$G,MATCH(B25,Station_Click_Areas!$B:$B,0)),"")</f>
        <v>1708</v>
      </c>
      <c r="H25" s="11">
        <f>IF(F25="","",F25/Config!$B$2*100)</f>
        <v>58.046875</v>
      </c>
      <c r="I25" s="11">
        <f>IF(G25="","",G25/Config!$B$3*100)</f>
        <v>59.305555555555557</v>
      </c>
      <c r="J25" s="5">
        <v>10.5</v>
      </c>
      <c r="K25" s="5" t="s">
        <v>932</v>
      </c>
      <c r="L25" s="5" t="s">
        <v>930</v>
      </c>
      <c r="M25" s="5">
        <v>0</v>
      </c>
      <c r="N25" s="5" t="s">
        <v>931</v>
      </c>
      <c r="O25" s="5"/>
    </row>
    <row r="26" spans="1:15" ht="15">
      <c r="A26" s="5" t="str">
        <f t="shared" si="0"/>
        <v>완료</v>
      </c>
      <c r="B26" s="5" t="s">
        <v>129</v>
      </c>
      <c r="C26" s="5" t="s">
        <v>129</v>
      </c>
      <c r="D26" s="5" t="s">
        <v>130</v>
      </c>
      <c r="E26" s="5" t="s">
        <v>131</v>
      </c>
      <c r="F26" s="9">
        <f>IFERROR(INDEX(Station_Click_Areas!$F:$F,MATCH(B26,Station_Click_Areas!$B:$B,0)),"")</f>
        <v>2972</v>
      </c>
      <c r="G26" s="9">
        <f>IFERROR(INDEX(Station_Click_Areas!$G:$G,MATCH(B26,Station_Click_Areas!$B:$B,0)),"")</f>
        <v>1800</v>
      </c>
      <c r="H26" s="11">
        <f>IF(F26="","",F26/Config!$B$2*100)</f>
        <v>58.046875</v>
      </c>
      <c r="I26" s="11">
        <f>IF(G26="","",G26/Config!$B$3*100)</f>
        <v>62.5</v>
      </c>
      <c r="J26" s="5">
        <v>12</v>
      </c>
      <c r="K26" s="5" t="s">
        <v>929</v>
      </c>
      <c r="L26" s="5" t="s">
        <v>930</v>
      </c>
      <c r="M26" s="5">
        <v>0</v>
      </c>
      <c r="N26" s="5" t="s">
        <v>931</v>
      </c>
      <c r="O26" s="5"/>
    </row>
    <row r="27" spans="1:15" ht="15">
      <c r="A27" s="5" t="str">
        <f t="shared" si="0"/>
        <v>완료</v>
      </c>
      <c r="B27" s="5" t="s">
        <v>133</v>
      </c>
      <c r="C27" s="5" t="s">
        <v>133</v>
      </c>
      <c r="D27" s="5" t="s">
        <v>134</v>
      </c>
      <c r="E27" s="5" t="s">
        <v>89</v>
      </c>
      <c r="F27" s="9">
        <f>IFERROR(INDEX(Station_Click_Areas!$F:$F,MATCH(B27,Station_Click_Areas!$B:$B,0)),"")</f>
        <v>2972</v>
      </c>
      <c r="G27" s="9">
        <f>IFERROR(INDEX(Station_Click_Areas!$G:$G,MATCH(B27,Station_Click_Areas!$B:$B,0)),"")</f>
        <v>1882</v>
      </c>
      <c r="H27" s="11">
        <f>IF(F27="","",F27/Config!$B$2*100)</f>
        <v>58.046875</v>
      </c>
      <c r="I27" s="11">
        <f>IF(G27="","",G27/Config!$B$3*100)</f>
        <v>65.347222222222229</v>
      </c>
      <c r="J27" s="5">
        <v>10.5</v>
      </c>
      <c r="K27" s="5" t="s">
        <v>932</v>
      </c>
      <c r="L27" s="5" t="s">
        <v>930</v>
      </c>
      <c r="M27" s="5">
        <v>0</v>
      </c>
      <c r="N27" s="5" t="s">
        <v>931</v>
      </c>
      <c r="O27" s="5"/>
    </row>
    <row r="28" spans="1:15" ht="15">
      <c r="A28" s="5" t="str">
        <f t="shared" si="0"/>
        <v>완료</v>
      </c>
      <c r="B28" s="5" t="s">
        <v>135</v>
      </c>
      <c r="C28" s="5" t="s">
        <v>135</v>
      </c>
      <c r="D28" s="5" t="s">
        <v>136</v>
      </c>
      <c r="E28" s="5" t="s">
        <v>89</v>
      </c>
      <c r="F28" s="9">
        <f>IFERROR(INDEX(Station_Click_Areas!$F:$F,MATCH(B28,Station_Click_Areas!$B:$B,0)),"")</f>
        <v>2972</v>
      </c>
      <c r="G28" s="9">
        <f>IFERROR(INDEX(Station_Click_Areas!$G:$G,MATCH(B28,Station_Click_Areas!$B:$B,0)),"")</f>
        <v>1964</v>
      </c>
      <c r="H28" s="11">
        <f>IF(F28="","",F28/Config!$B$2*100)</f>
        <v>58.046875</v>
      </c>
      <c r="I28" s="11">
        <f>IF(G28="","",G28/Config!$B$3*100)</f>
        <v>68.194444444444443</v>
      </c>
      <c r="J28" s="5">
        <v>10.5</v>
      </c>
      <c r="K28" s="5" t="s">
        <v>932</v>
      </c>
      <c r="L28" s="5" t="s">
        <v>930</v>
      </c>
      <c r="M28" s="5">
        <v>0</v>
      </c>
      <c r="N28" s="5" t="s">
        <v>931</v>
      </c>
      <c r="O28" s="5"/>
    </row>
    <row r="29" spans="1:15" ht="15">
      <c r="A29" s="5" t="str">
        <f t="shared" si="0"/>
        <v>완료</v>
      </c>
      <c r="B29" s="5" t="s">
        <v>137</v>
      </c>
      <c r="C29" s="5" t="s">
        <v>137</v>
      </c>
      <c r="D29" s="5" t="s">
        <v>138</v>
      </c>
      <c r="E29" s="5" t="s">
        <v>89</v>
      </c>
      <c r="F29" s="9">
        <f>IFERROR(INDEX(Station_Click_Areas!$F:$F,MATCH(B29,Station_Click_Areas!$B:$B,0)),"")</f>
        <v>2874</v>
      </c>
      <c r="G29" s="9">
        <f>IFERROR(INDEX(Station_Click_Areas!$G:$G,MATCH(B29,Station_Click_Areas!$B:$B,0)),"")</f>
        <v>2040</v>
      </c>
      <c r="H29" s="11">
        <f>IF(F29="","",F29/Config!$B$2*100)</f>
        <v>56.132812499999993</v>
      </c>
      <c r="I29" s="11">
        <f>IF(G29="","",G29/Config!$B$3*100)</f>
        <v>70.833333333333343</v>
      </c>
      <c r="J29" s="5">
        <v>10.5</v>
      </c>
      <c r="K29" s="5" t="s">
        <v>932</v>
      </c>
      <c r="L29" s="5" t="s">
        <v>930</v>
      </c>
      <c r="M29" s="5">
        <v>0</v>
      </c>
      <c r="N29" s="5" t="s">
        <v>931</v>
      </c>
      <c r="O29" s="5"/>
    </row>
    <row r="30" spans="1:15" ht="15">
      <c r="A30" s="5" t="str">
        <f t="shared" si="0"/>
        <v>완료</v>
      </c>
      <c r="B30" s="5" t="s">
        <v>139</v>
      </c>
      <c r="C30" s="5" t="s">
        <v>139</v>
      </c>
      <c r="D30" s="5" t="s">
        <v>140</v>
      </c>
      <c r="E30" s="5" t="s">
        <v>89</v>
      </c>
      <c r="F30" s="9">
        <f>IFERROR(INDEX(Station_Click_Areas!$F:$F,MATCH(B30,Station_Click_Areas!$B:$B,0)),"")</f>
        <v>2776</v>
      </c>
      <c r="G30" s="9">
        <f>IFERROR(INDEX(Station_Click_Areas!$G:$G,MATCH(B30,Station_Click_Areas!$B:$B,0)),"")</f>
        <v>2116</v>
      </c>
      <c r="H30" s="11">
        <f>IF(F30="","",F30/Config!$B$2*100)</f>
        <v>54.218750000000007</v>
      </c>
      <c r="I30" s="11">
        <f>IF(G30="","",G30/Config!$B$3*100)</f>
        <v>73.472222222222229</v>
      </c>
      <c r="J30" s="5">
        <v>10.5</v>
      </c>
      <c r="K30" s="5" t="s">
        <v>932</v>
      </c>
      <c r="L30" s="5" t="s">
        <v>930</v>
      </c>
      <c r="M30" s="5">
        <v>0</v>
      </c>
      <c r="N30" s="5" t="s">
        <v>931</v>
      </c>
      <c r="O30" s="5"/>
    </row>
    <row r="31" spans="1:15" ht="15">
      <c r="A31" s="5" t="str">
        <f t="shared" si="0"/>
        <v>완료</v>
      </c>
      <c r="B31" s="5" t="s">
        <v>141</v>
      </c>
      <c r="C31" s="5" t="s">
        <v>141</v>
      </c>
      <c r="D31" s="5" t="s">
        <v>142</v>
      </c>
      <c r="E31" s="5" t="s">
        <v>89</v>
      </c>
      <c r="F31" s="9">
        <f>IFERROR(INDEX(Station_Click_Areas!$F:$F,MATCH(B31,Station_Click_Areas!$B:$B,0)),"")</f>
        <v>2696</v>
      </c>
      <c r="G31" s="9">
        <f>IFERROR(INDEX(Station_Click_Areas!$G:$G,MATCH(B31,Station_Click_Areas!$B:$B,0)),"")</f>
        <v>2116</v>
      </c>
      <c r="H31" s="11">
        <f>IF(F31="","",F31/Config!$B$2*100)</f>
        <v>52.656250000000007</v>
      </c>
      <c r="I31" s="11">
        <f>IF(G31="","",G31/Config!$B$3*100)</f>
        <v>73.472222222222229</v>
      </c>
      <c r="J31" s="5">
        <v>10.5</v>
      </c>
      <c r="K31" s="5" t="s">
        <v>932</v>
      </c>
      <c r="L31" s="5" t="s">
        <v>930</v>
      </c>
      <c r="M31" s="5">
        <v>0</v>
      </c>
      <c r="N31" s="5" t="s">
        <v>931</v>
      </c>
      <c r="O31" s="5"/>
    </row>
    <row r="32" spans="1:15" ht="15">
      <c r="A32" s="5" t="str">
        <f t="shared" si="0"/>
        <v>완료</v>
      </c>
      <c r="B32" s="5" t="s">
        <v>143</v>
      </c>
      <c r="C32" s="5" t="s">
        <v>143</v>
      </c>
      <c r="D32" s="5" t="s">
        <v>144</v>
      </c>
      <c r="E32" s="5" t="s">
        <v>89</v>
      </c>
      <c r="F32" s="9">
        <f>IFERROR(INDEX(Station_Click_Areas!$F:$F,MATCH(B32,Station_Click_Areas!$B:$B,0)),"")</f>
        <v>2616</v>
      </c>
      <c r="G32" s="9">
        <f>IFERROR(INDEX(Station_Click_Areas!$G:$G,MATCH(B32,Station_Click_Areas!$B:$B,0)),"")</f>
        <v>2116</v>
      </c>
      <c r="H32" s="11">
        <f>IF(F32="","",F32/Config!$B$2*100)</f>
        <v>51.093750000000007</v>
      </c>
      <c r="I32" s="11">
        <f>IF(G32="","",G32/Config!$B$3*100)</f>
        <v>73.472222222222229</v>
      </c>
      <c r="J32" s="5">
        <v>10.5</v>
      </c>
      <c r="K32" s="5" t="s">
        <v>932</v>
      </c>
      <c r="L32" s="5" t="s">
        <v>930</v>
      </c>
      <c r="M32" s="5">
        <v>0</v>
      </c>
      <c r="N32" s="5" t="s">
        <v>931</v>
      </c>
      <c r="O32" s="5"/>
    </row>
    <row r="33" spans="1:15" ht="15">
      <c r="A33" s="5" t="str">
        <f t="shared" si="0"/>
        <v>완료</v>
      </c>
      <c r="B33" s="5" t="s">
        <v>145</v>
      </c>
      <c r="C33" s="5" t="s">
        <v>145</v>
      </c>
      <c r="D33" s="5" t="s">
        <v>146</v>
      </c>
      <c r="E33" s="5" t="s">
        <v>93</v>
      </c>
      <c r="F33" s="9">
        <f>IFERROR(INDEX(Station_Click_Areas!$F:$F,MATCH(B33,Station_Click_Areas!$B:$B,0)),"")</f>
        <v>2480</v>
      </c>
      <c r="G33" s="9">
        <f>IFERROR(INDEX(Station_Click_Areas!$G:$G,MATCH(B33,Station_Click_Areas!$B:$B,0)),"")</f>
        <v>2116</v>
      </c>
      <c r="H33" s="11">
        <f>IF(F33="","",F33/Config!$B$2*100)</f>
        <v>48.4375</v>
      </c>
      <c r="I33" s="11">
        <f>IF(G33="","",G33/Config!$B$3*100)</f>
        <v>73.472222222222229</v>
      </c>
      <c r="J33" s="5">
        <v>12</v>
      </c>
      <c r="K33" s="5" t="s">
        <v>929</v>
      </c>
      <c r="L33" s="5" t="s">
        <v>930</v>
      </c>
      <c r="M33" s="5">
        <v>0</v>
      </c>
      <c r="N33" s="5" t="s">
        <v>931</v>
      </c>
      <c r="O33" s="5"/>
    </row>
    <row r="34" spans="1:15" ht="15">
      <c r="A34" s="5" t="str">
        <f t="shared" si="0"/>
        <v>완료</v>
      </c>
      <c r="B34" s="5" t="s">
        <v>147</v>
      </c>
      <c r="C34" s="5" t="s">
        <v>147</v>
      </c>
      <c r="D34" s="5" t="s">
        <v>148</v>
      </c>
      <c r="E34" s="5" t="s">
        <v>89</v>
      </c>
      <c r="F34" s="9">
        <f>IFERROR(INDEX(Station_Click_Areas!$F:$F,MATCH(B34,Station_Click_Areas!$B:$B,0)),"")</f>
        <v>2384</v>
      </c>
      <c r="G34" s="9">
        <f>IFERROR(INDEX(Station_Click_Areas!$G:$G,MATCH(B34,Station_Click_Areas!$B:$B,0)),"")</f>
        <v>2116</v>
      </c>
      <c r="H34" s="11">
        <f>IF(F34="","",F34/Config!$B$2*100)</f>
        <v>46.5625</v>
      </c>
      <c r="I34" s="11">
        <f>IF(G34="","",G34/Config!$B$3*100)</f>
        <v>73.472222222222229</v>
      </c>
      <c r="J34" s="5">
        <v>10.5</v>
      </c>
      <c r="K34" s="5" t="s">
        <v>932</v>
      </c>
      <c r="L34" s="5" t="s">
        <v>930</v>
      </c>
      <c r="M34" s="5">
        <v>0</v>
      </c>
      <c r="N34" s="5" t="s">
        <v>931</v>
      </c>
      <c r="O34" s="5"/>
    </row>
    <row r="35" spans="1:15" ht="15">
      <c r="A35" s="5" t="str">
        <f t="shared" si="0"/>
        <v>완료</v>
      </c>
      <c r="B35" s="5" t="s">
        <v>149</v>
      </c>
      <c r="C35" s="5" t="s">
        <v>149</v>
      </c>
      <c r="D35" s="5" t="s">
        <v>150</v>
      </c>
      <c r="E35" s="5" t="s">
        <v>89</v>
      </c>
      <c r="F35" s="9">
        <f>IFERROR(INDEX(Station_Click_Areas!$F:$F,MATCH(B35,Station_Click_Areas!$B:$B,0)),"")</f>
        <v>2296</v>
      </c>
      <c r="G35" s="9">
        <f>IFERROR(INDEX(Station_Click_Areas!$G:$G,MATCH(B35,Station_Click_Areas!$B:$B,0)),"")</f>
        <v>2116</v>
      </c>
      <c r="H35" s="11">
        <f>IF(F35="","",F35/Config!$B$2*100)</f>
        <v>44.84375</v>
      </c>
      <c r="I35" s="11">
        <f>IF(G35="","",G35/Config!$B$3*100)</f>
        <v>73.472222222222229</v>
      </c>
      <c r="J35" s="5">
        <v>10.5</v>
      </c>
      <c r="K35" s="5" t="s">
        <v>932</v>
      </c>
      <c r="L35" s="5" t="s">
        <v>930</v>
      </c>
      <c r="M35" s="5">
        <v>0</v>
      </c>
      <c r="N35" s="5" t="s">
        <v>931</v>
      </c>
      <c r="O35" s="5"/>
    </row>
    <row r="36" spans="1:15" ht="15">
      <c r="A36" s="5" t="str">
        <f t="shared" si="0"/>
        <v>완료</v>
      </c>
      <c r="B36" s="5" t="s">
        <v>151</v>
      </c>
      <c r="C36" s="5" t="s">
        <v>151</v>
      </c>
      <c r="D36" s="5" t="s">
        <v>152</v>
      </c>
      <c r="E36" s="5" t="s">
        <v>153</v>
      </c>
      <c r="F36" s="9">
        <f>IFERROR(INDEX(Station_Click_Areas!$F:$F,MATCH(B36,Station_Click_Areas!$B:$B,0)),"")</f>
        <v>2200</v>
      </c>
      <c r="G36" s="9">
        <f>IFERROR(INDEX(Station_Click_Areas!$G:$G,MATCH(B36,Station_Click_Areas!$B:$B,0)),"")</f>
        <v>2116</v>
      </c>
      <c r="H36" s="11">
        <f>IF(F36="","",F36/Config!$B$2*100)</f>
        <v>42.96875</v>
      </c>
      <c r="I36" s="11">
        <f>IF(G36="","",G36/Config!$B$3*100)</f>
        <v>73.472222222222229</v>
      </c>
      <c r="J36" s="5">
        <v>12</v>
      </c>
      <c r="K36" s="5" t="s">
        <v>929</v>
      </c>
      <c r="L36" s="5" t="s">
        <v>930</v>
      </c>
      <c r="M36" s="5">
        <v>0</v>
      </c>
      <c r="N36" s="5" t="s">
        <v>931</v>
      </c>
      <c r="O36" s="5"/>
    </row>
    <row r="37" spans="1:15" ht="15">
      <c r="A37" s="5" t="str">
        <f t="shared" si="0"/>
        <v>완료</v>
      </c>
      <c r="B37" s="5" t="s">
        <v>155</v>
      </c>
      <c r="C37" s="5" t="s">
        <v>155</v>
      </c>
      <c r="D37" s="5" t="s">
        <v>156</v>
      </c>
      <c r="E37" s="5" t="s">
        <v>89</v>
      </c>
      <c r="F37" s="9">
        <f>IFERROR(INDEX(Station_Click_Areas!$F:$F,MATCH(B37,Station_Click_Areas!$B:$B,0)),"")</f>
        <v>2092</v>
      </c>
      <c r="G37" s="9">
        <f>IFERROR(INDEX(Station_Click_Areas!$G:$G,MATCH(B37,Station_Click_Areas!$B:$B,0)),"")</f>
        <v>2116</v>
      </c>
      <c r="H37" s="11">
        <f>IF(F37="","",F37/Config!$B$2*100)</f>
        <v>40.859375</v>
      </c>
      <c r="I37" s="11">
        <f>IF(G37="","",G37/Config!$B$3*100)</f>
        <v>73.472222222222229</v>
      </c>
      <c r="J37" s="5">
        <v>10.5</v>
      </c>
      <c r="K37" s="5" t="s">
        <v>932</v>
      </c>
      <c r="L37" s="5" t="s">
        <v>930</v>
      </c>
      <c r="M37" s="5">
        <v>0</v>
      </c>
      <c r="N37" s="5" t="s">
        <v>931</v>
      </c>
      <c r="O37" s="5"/>
    </row>
    <row r="38" spans="1:15" ht="15">
      <c r="A38" s="5" t="str">
        <f t="shared" si="0"/>
        <v>완료</v>
      </c>
      <c r="B38" s="5" t="s">
        <v>157</v>
      </c>
      <c r="C38" s="5" t="s">
        <v>157</v>
      </c>
      <c r="D38" s="5" t="s">
        <v>158</v>
      </c>
      <c r="E38" s="5" t="s">
        <v>89</v>
      </c>
      <c r="F38" s="9">
        <f>IFERROR(INDEX(Station_Click_Areas!$F:$F,MATCH(B38,Station_Click_Areas!$B:$B,0)),"")</f>
        <v>1984</v>
      </c>
      <c r="G38" s="9">
        <f>IFERROR(INDEX(Station_Click_Areas!$G:$G,MATCH(B38,Station_Click_Areas!$B:$B,0)),"")</f>
        <v>2116</v>
      </c>
      <c r="H38" s="11">
        <f>IF(F38="","",F38/Config!$B$2*100)</f>
        <v>38.75</v>
      </c>
      <c r="I38" s="11">
        <f>IF(G38="","",G38/Config!$B$3*100)</f>
        <v>73.472222222222229</v>
      </c>
      <c r="J38" s="5">
        <v>10.5</v>
      </c>
      <c r="K38" s="5" t="s">
        <v>932</v>
      </c>
      <c r="L38" s="5" t="s">
        <v>930</v>
      </c>
      <c r="M38" s="5">
        <v>0</v>
      </c>
      <c r="N38" s="5" t="s">
        <v>931</v>
      </c>
      <c r="O38" s="5"/>
    </row>
    <row r="39" spans="1:15" ht="15">
      <c r="A39" s="5" t="str">
        <f t="shared" si="0"/>
        <v>완료</v>
      </c>
      <c r="B39" s="5" t="s">
        <v>159</v>
      </c>
      <c r="C39" s="5" t="s">
        <v>159</v>
      </c>
      <c r="D39" s="5" t="s">
        <v>160</v>
      </c>
      <c r="E39" s="5" t="s">
        <v>89</v>
      </c>
      <c r="F39" s="9">
        <f>IFERROR(INDEX(Station_Click_Areas!$F:$F,MATCH(B39,Station_Click_Areas!$B:$B,0)),"")</f>
        <v>1876</v>
      </c>
      <c r="G39" s="9">
        <f>IFERROR(INDEX(Station_Click_Areas!$G:$G,MATCH(B39,Station_Click_Areas!$B:$B,0)),"")</f>
        <v>2116</v>
      </c>
      <c r="H39" s="11">
        <f>IF(F39="","",F39/Config!$B$2*100)</f>
        <v>36.640625</v>
      </c>
      <c r="I39" s="11">
        <f>IF(G39="","",G39/Config!$B$3*100)</f>
        <v>73.472222222222229</v>
      </c>
      <c r="J39" s="5">
        <v>10.5</v>
      </c>
      <c r="K39" s="5" t="s">
        <v>932</v>
      </c>
      <c r="L39" s="5" t="s">
        <v>930</v>
      </c>
      <c r="M39" s="5">
        <v>0</v>
      </c>
      <c r="N39" s="5" t="s">
        <v>931</v>
      </c>
      <c r="O39" s="5"/>
    </row>
    <row r="40" spans="1:15" ht="15">
      <c r="A40" s="5" t="str">
        <f t="shared" si="0"/>
        <v>완료</v>
      </c>
      <c r="B40" s="5" t="s">
        <v>161</v>
      </c>
      <c r="C40" s="5" t="s">
        <v>161</v>
      </c>
      <c r="D40" s="5" t="s">
        <v>162</v>
      </c>
      <c r="E40" s="5" t="s">
        <v>89</v>
      </c>
      <c r="F40" s="9">
        <f>IFERROR(INDEX(Station_Click_Areas!$F:$F,MATCH(B40,Station_Click_Areas!$B:$B,0)),"")</f>
        <v>1768</v>
      </c>
      <c r="G40" s="9">
        <f>IFERROR(INDEX(Station_Click_Areas!$G:$G,MATCH(B40,Station_Click_Areas!$B:$B,0)),"")</f>
        <v>2116</v>
      </c>
      <c r="H40" s="11">
        <f>IF(F40="","",F40/Config!$B$2*100)</f>
        <v>34.53125</v>
      </c>
      <c r="I40" s="11">
        <f>IF(G40="","",G40/Config!$B$3*100)</f>
        <v>73.472222222222229</v>
      </c>
      <c r="J40" s="5">
        <v>10.5</v>
      </c>
      <c r="K40" s="5" t="s">
        <v>932</v>
      </c>
      <c r="L40" s="5" t="s">
        <v>930</v>
      </c>
      <c r="M40" s="5">
        <v>0</v>
      </c>
      <c r="N40" s="5" t="s">
        <v>931</v>
      </c>
      <c r="O40" s="5"/>
    </row>
    <row r="41" spans="1:15" ht="15">
      <c r="A41" s="5" t="str">
        <f t="shared" si="0"/>
        <v>완료</v>
      </c>
      <c r="B41" s="5" t="s">
        <v>163</v>
      </c>
      <c r="C41" s="5" t="s">
        <v>163</v>
      </c>
      <c r="D41" s="5" t="s">
        <v>164</v>
      </c>
      <c r="E41" s="5" t="s">
        <v>89</v>
      </c>
      <c r="F41" s="9">
        <f>IFERROR(INDEX(Station_Click_Areas!$F:$F,MATCH(B41,Station_Click_Areas!$B:$B,0)),"")</f>
        <v>1660</v>
      </c>
      <c r="G41" s="9">
        <f>IFERROR(INDEX(Station_Click_Areas!$G:$G,MATCH(B41,Station_Click_Areas!$B:$B,0)),"")</f>
        <v>2116</v>
      </c>
      <c r="H41" s="11">
        <f>IF(F41="","",F41/Config!$B$2*100)</f>
        <v>32.421875</v>
      </c>
      <c r="I41" s="11">
        <f>IF(G41="","",G41/Config!$B$3*100)</f>
        <v>73.472222222222229</v>
      </c>
      <c r="J41" s="5">
        <v>10.5</v>
      </c>
      <c r="K41" s="5" t="s">
        <v>932</v>
      </c>
      <c r="L41" s="5" t="s">
        <v>930</v>
      </c>
      <c r="M41" s="5">
        <v>0</v>
      </c>
      <c r="N41" s="5" t="s">
        <v>931</v>
      </c>
      <c r="O41" s="5"/>
    </row>
    <row r="42" spans="1:15" ht="15">
      <c r="A42" s="5" t="str">
        <f t="shared" si="0"/>
        <v>완료</v>
      </c>
      <c r="B42" s="5" t="s">
        <v>165</v>
      </c>
      <c r="C42" s="5" t="s">
        <v>165</v>
      </c>
      <c r="D42" s="5" t="s">
        <v>166</v>
      </c>
      <c r="E42" s="5" t="s">
        <v>89</v>
      </c>
      <c r="F42" s="9">
        <f>IFERROR(INDEX(Station_Click_Areas!$F:$F,MATCH(B42,Station_Click_Areas!$B:$B,0)),"")</f>
        <v>1552</v>
      </c>
      <c r="G42" s="9">
        <f>IFERROR(INDEX(Station_Click_Areas!$G:$G,MATCH(B42,Station_Click_Areas!$B:$B,0)),"")</f>
        <v>2116</v>
      </c>
      <c r="H42" s="11">
        <f>IF(F42="","",F42/Config!$B$2*100)</f>
        <v>30.312499999999996</v>
      </c>
      <c r="I42" s="11">
        <f>IF(G42="","",G42/Config!$B$3*100)</f>
        <v>73.472222222222229</v>
      </c>
      <c r="J42" s="5">
        <v>10.5</v>
      </c>
      <c r="K42" s="5" t="s">
        <v>932</v>
      </c>
      <c r="L42" s="5" t="s">
        <v>930</v>
      </c>
      <c r="M42" s="5">
        <v>0</v>
      </c>
      <c r="N42" s="5" t="s">
        <v>931</v>
      </c>
      <c r="O42" s="5"/>
    </row>
    <row r="43" spans="1:15" ht="15">
      <c r="A43" s="5" t="str">
        <f t="shared" si="0"/>
        <v>완료</v>
      </c>
      <c r="B43" s="5" t="s">
        <v>167</v>
      </c>
      <c r="C43" s="5" t="s">
        <v>167</v>
      </c>
      <c r="D43" s="5" t="s">
        <v>168</v>
      </c>
      <c r="E43" s="5" t="s">
        <v>121</v>
      </c>
      <c r="F43" s="9">
        <f>IFERROR(INDEX(Station_Click_Areas!$F:$F,MATCH(B43,Station_Click_Areas!$B:$B,0)),"")</f>
        <v>1424</v>
      </c>
      <c r="G43" s="9">
        <f>IFERROR(INDEX(Station_Click_Areas!$G:$G,MATCH(B43,Station_Click_Areas!$B:$B,0)),"")</f>
        <v>1964</v>
      </c>
      <c r="H43" s="11">
        <f>IF(F43="","",F43/Config!$B$2*100)</f>
        <v>27.8125</v>
      </c>
      <c r="I43" s="11">
        <f>IF(G43="","",G43/Config!$B$3*100)</f>
        <v>68.194444444444443</v>
      </c>
      <c r="J43" s="5">
        <v>12</v>
      </c>
      <c r="K43" s="5" t="s">
        <v>929</v>
      </c>
      <c r="L43" s="5" t="s">
        <v>930</v>
      </c>
      <c r="M43" s="5">
        <v>0</v>
      </c>
      <c r="N43" s="5" t="s">
        <v>931</v>
      </c>
      <c r="O43" s="5"/>
    </row>
    <row r="44" spans="1:15" ht="15">
      <c r="A44" s="5" t="str">
        <f t="shared" si="0"/>
        <v>완료</v>
      </c>
      <c r="B44" s="5" t="s">
        <v>169</v>
      </c>
      <c r="C44" s="5" t="s">
        <v>169</v>
      </c>
      <c r="D44" s="5" t="s">
        <v>170</v>
      </c>
      <c r="E44" s="5" t="s">
        <v>89</v>
      </c>
      <c r="F44" s="9">
        <f>IFERROR(INDEX(Station_Click_Areas!$F:$F,MATCH(B44,Station_Click_Areas!$B:$B,0)),"")</f>
        <v>1424</v>
      </c>
      <c r="G44" s="9">
        <f>IFERROR(INDEX(Station_Click_Areas!$G:$G,MATCH(B44,Station_Click_Areas!$B:$B,0)),"")</f>
        <v>1820</v>
      </c>
      <c r="H44" s="11">
        <f>IF(F44="","",F44/Config!$B$2*100)</f>
        <v>27.8125</v>
      </c>
      <c r="I44" s="11">
        <f>IF(G44="","",G44/Config!$B$3*100)</f>
        <v>63.194444444444443</v>
      </c>
      <c r="J44" s="5">
        <v>10.5</v>
      </c>
      <c r="K44" s="5" t="s">
        <v>932</v>
      </c>
      <c r="L44" s="5" t="s">
        <v>930</v>
      </c>
      <c r="M44" s="5">
        <v>0</v>
      </c>
      <c r="N44" s="5" t="s">
        <v>931</v>
      </c>
      <c r="O44" s="5"/>
    </row>
    <row r="45" spans="1:15" ht="15">
      <c r="A45" s="5" t="str">
        <f t="shared" si="0"/>
        <v>완료</v>
      </c>
      <c r="B45" s="5" t="s">
        <v>172</v>
      </c>
      <c r="C45" s="5" t="s">
        <v>172</v>
      </c>
      <c r="D45" s="5" t="s">
        <v>173</v>
      </c>
      <c r="E45" s="5" t="s">
        <v>89</v>
      </c>
      <c r="F45" s="9">
        <f>IFERROR(INDEX(Station_Click_Areas!$F:$F,MATCH(B45,Station_Click_Areas!$B:$B,0)),"")</f>
        <v>1424</v>
      </c>
      <c r="G45" s="9">
        <f>IFERROR(INDEX(Station_Click_Areas!$G:$G,MATCH(B45,Station_Click_Areas!$B:$B,0)),"")</f>
        <v>1740</v>
      </c>
      <c r="H45" s="11">
        <f>IF(F45="","",F45/Config!$B$2*100)</f>
        <v>27.8125</v>
      </c>
      <c r="I45" s="11">
        <f>IF(G45="","",G45/Config!$B$3*100)</f>
        <v>60.416666666666664</v>
      </c>
      <c r="J45" s="5">
        <v>10.5</v>
      </c>
      <c r="K45" s="5" t="s">
        <v>932</v>
      </c>
      <c r="L45" s="5" t="s">
        <v>930</v>
      </c>
      <c r="M45" s="5">
        <v>0</v>
      </c>
      <c r="N45" s="5" t="s">
        <v>931</v>
      </c>
      <c r="O45" s="5"/>
    </row>
    <row r="46" spans="1:15" ht="15">
      <c r="A46" s="5" t="str">
        <f t="shared" si="0"/>
        <v>완료</v>
      </c>
      <c r="B46" s="5" t="s">
        <v>174</v>
      </c>
      <c r="C46" s="5" t="s">
        <v>174</v>
      </c>
      <c r="D46" s="5" t="s">
        <v>175</v>
      </c>
      <c r="E46" s="5" t="s">
        <v>97</v>
      </c>
      <c r="F46" s="9">
        <f>IFERROR(INDEX(Station_Click_Areas!$F:$F,MATCH(B46,Station_Click_Areas!$B:$B,0)),"")</f>
        <v>1424</v>
      </c>
      <c r="G46" s="9">
        <f>IFERROR(INDEX(Station_Click_Areas!$G:$G,MATCH(B46,Station_Click_Areas!$B:$B,0)),"")</f>
        <v>1660</v>
      </c>
      <c r="H46" s="11">
        <f>IF(F46="","",F46/Config!$B$2*100)</f>
        <v>27.8125</v>
      </c>
      <c r="I46" s="11">
        <f>IF(G46="","",G46/Config!$B$3*100)</f>
        <v>57.638888888888886</v>
      </c>
      <c r="J46" s="5">
        <v>12</v>
      </c>
      <c r="K46" s="5" t="s">
        <v>929</v>
      </c>
      <c r="L46" s="5" t="s">
        <v>930</v>
      </c>
      <c r="M46" s="5">
        <v>0</v>
      </c>
      <c r="N46" s="5" t="s">
        <v>931</v>
      </c>
      <c r="O46" s="5"/>
    </row>
    <row r="47" spans="1:15" ht="15">
      <c r="A47" s="5" t="str">
        <f t="shared" si="0"/>
        <v>완료</v>
      </c>
      <c r="B47" s="5" t="s">
        <v>176</v>
      </c>
      <c r="C47" s="5" t="s">
        <v>176</v>
      </c>
      <c r="D47" s="5" t="s">
        <v>177</v>
      </c>
      <c r="E47" s="5" t="s">
        <v>89</v>
      </c>
      <c r="F47" s="9">
        <f>IFERROR(INDEX(Station_Click_Areas!$F:$F,MATCH(B47,Station_Click_Areas!$B:$B,0)),"")</f>
        <v>1424</v>
      </c>
      <c r="G47" s="9">
        <f>IFERROR(INDEX(Station_Click_Areas!$G:$G,MATCH(B47,Station_Click_Areas!$B:$B,0)),"")</f>
        <v>1500</v>
      </c>
      <c r="H47" s="11">
        <f>IF(F47="","",F47/Config!$B$2*100)</f>
        <v>27.8125</v>
      </c>
      <c r="I47" s="11">
        <f>IF(G47="","",G47/Config!$B$3*100)</f>
        <v>52.083333333333336</v>
      </c>
      <c r="J47" s="5">
        <v>10.5</v>
      </c>
      <c r="K47" s="5" t="s">
        <v>932</v>
      </c>
      <c r="L47" s="5" t="s">
        <v>930</v>
      </c>
      <c r="M47" s="5">
        <v>0</v>
      </c>
      <c r="N47" s="5" t="s">
        <v>931</v>
      </c>
      <c r="O47" s="5"/>
    </row>
    <row r="48" spans="1:15" ht="15">
      <c r="A48" s="5" t="str">
        <f t="shared" si="0"/>
        <v>완료</v>
      </c>
      <c r="B48" s="5" t="s">
        <v>178</v>
      </c>
      <c r="C48" s="5" t="s">
        <v>178</v>
      </c>
      <c r="D48" s="5" t="s">
        <v>179</v>
      </c>
      <c r="E48" s="5" t="s">
        <v>106</v>
      </c>
      <c r="F48" s="9">
        <f>IFERROR(INDEX(Station_Click_Areas!$F:$F,MATCH(B48,Station_Click_Areas!$B:$B,0)),"")</f>
        <v>1424</v>
      </c>
      <c r="G48" s="9">
        <f>IFERROR(INDEX(Station_Click_Areas!$G:$G,MATCH(B48,Station_Click_Areas!$B:$B,0)),"")</f>
        <v>1332</v>
      </c>
      <c r="H48" s="11">
        <f>IF(F48="","",F48/Config!$B$2*100)</f>
        <v>27.8125</v>
      </c>
      <c r="I48" s="11">
        <f>IF(G48="","",G48/Config!$B$3*100)</f>
        <v>46.25</v>
      </c>
      <c r="J48" s="5">
        <v>12</v>
      </c>
      <c r="K48" s="5" t="s">
        <v>929</v>
      </c>
      <c r="L48" s="5" t="s">
        <v>930</v>
      </c>
      <c r="M48" s="5">
        <v>0</v>
      </c>
      <c r="N48" s="5" t="s">
        <v>931</v>
      </c>
      <c r="O48" s="5"/>
    </row>
    <row r="49" spans="1:15" ht="15">
      <c r="A49" s="5" t="str">
        <f t="shared" si="0"/>
        <v>완료</v>
      </c>
      <c r="B49" s="5" t="s">
        <v>180</v>
      </c>
      <c r="C49" s="5" t="s">
        <v>180</v>
      </c>
      <c r="D49" s="5" t="s">
        <v>181</v>
      </c>
      <c r="E49" s="5" t="s">
        <v>89</v>
      </c>
      <c r="F49" s="9">
        <f>IFERROR(INDEX(Station_Click_Areas!$F:$F,MATCH(B49,Station_Click_Areas!$B:$B,0)),"")</f>
        <v>1494</v>
      </c>
      <c r="G49" s="9">
        <f>IFERROR(INDEX(Station_Click_Areas!$G:$G,MATCH(B49,Station_Click_Areas!$B:$B,0)),"")</f>
        <v>1244</v>
      </c>
      <c r="H49" s="11">
        <f>IF(F49="","",F49/Config!$B$2*100)</f>
        <v>29.1796875</v>
      </c>
      <c r="I49" s="11">
        <f>IF(G49="","",G49/Config!$B$3*100)</f>
        <v>43.194444444444443</v>
      </c>
      <c r="J49" s="5">
        <v>10.5</v>
      </c>
      <c r="K49" s="5" t="s">
        <v>932</v>
      </c>
      <c r="L49" s="5" t="s">
        <v>930</v>
      </c>
      <c r="M49" s="5">
        <v>0</v>
      </c>
      <c r="N49" s="5" t="s">
        <v>931</v>
      </c>
      <c r="O49" s="5"/>
    </row>
    <row r="50" spans="1:15" ht="15">
      <c r="A50" s="5" t="str">
        <f t="shared" si="0"/>
        <v>완료</v>
      </c>
      <c r="B50" s="5" t="s">
        <v>182</v>
      </c>
      <c r="C50" s="5" t="s">
        <v>182</v>
      </c>
      <c r="D50" s="5" t="s">
        <v>183</v>
      </c>
      <c r="E50" s="5" t="s">
        <v>89</v>
      </c>
      <c r="F50" s="9">
        <f>IFERROR(INDEX(Station_Click_Areas!$F:$F,MATCH(B50,Station_Click_Areas!$B:$B,0)),"")</f>
        <v>1536</v>
      </c>
      <c r="G50" s="9">
        <f>IFERROR(INDEX(Station_Click_Areas!$G:$G,MATCH(B50,Station_Click_Areas!$B:$B,0)),"")</f>
        <v>1194</v>
      </c>
      <c r="H50" s="11">
        <f>IF(F50="","",F50/Config!$B$2*100)</f>
        <v>30</v>
      </c>
      <c r="I50" s="11">
        <f>IF(G50="","",G50/Config!$B$3*100)</f>
        <v>41.458333333333336</v>
      </c>
      <c r="J50" s="5">
        <v>10.5</v>
      </c>
      <c r="K50" s="5" t="s">
        <v>932</v>
      </c>
      <c r="L50" s="5" t="s">
        <v>930</v>
      </c>
      <c r="M50" s="5">
        <v>0</v>
      </c>
      <c r="N50" s="5" t="s">
        <v>931</v>
      </c>
      <c r="O50" s="5"/>
    </row>
    <row r="51" spans="1:15" ht="15">
      <c r="A51" s="5" t="str">
        <f t="shared" si="0"/>
        <v>완료</v>
      </c>
      <c r="B51" s="5" t="s">
        <v>184</v>
      </c>
      <c r="C51" s="5" t="s">
        <v>184</v>
      </c>
      <c r="D51" s="5" t="s">
        <v>185</v>
      </c>
      <c r="E51" s="5" t="s">
        <v>89</v>
      </c>
      <c r="F51" s="9">
        <f>IFERROR(INDEX(Station_Click_Areas!$F:$F,MATCH(B51,Station_Click_Areas!$B:$B,0)),"")</f>
        <v>1576</v>
      </c>
      <c r="G51" s="9">
        <f>IFERROR(INDEX(Station_Click_Areas!$G:$G,MATCH(B51,Station_Click_Areas!$B:$B,0)),"")</f>
        <v>1144</v>
      </c>
      <c r="H51" s="11">
        <f>IF(F51="","",F51/Config!$B$2*100)</f>
        <v>30.78125</v>
      </c>
      <c r="I51" s="11">
        <f>IF(G51="","",G51/Config!$B$3*100)</f>
        <v>39.722222222222221</v>
      </c>
      <c r="J51" s="5">
        <v>10.5</v>
      </c>
      <c r="K51" s="5" t="s">
        <v>932</v>
      </c>
      <c r="L51" s="5" t="s">
        <v>930</v>
      </c>
      <c r="M51" s="5">
        <v>0</v>
      </c>
      <c r="N51" s="5" t="s">
        <v>931</v>
      </c>
      <c r="O51" s="5"/>
    </row>
    <row r="52" spans="1:15" ht="15">
      <c r="A52" s="5" t="str">
        <f t="shared" si="0"/>
        <v>완료</v>
      </c>
      <c r="B52" s="5" t="s">
        <v>186</v>
      </c>
      <c r="C52" s="5" t="s">
        <v>186</v>
      </c>
      <c r="D52" s="5" t="s">
        <v>187</v>
      </c>
      <c r="E52" s="5" t="s">
        <v>89</v>
      </c>
      <c r="F52" s="9">
        <f>IFERROR(INDEX(Station_Click_Areas!$F:$F,MATCH(B52,Station_Click_Areas!$B:$B,0)),"")</f>
        <v>1664</v>
      </c>
      <c r="G52" s="9">
        <f>IFERROR(INDEX(Station_Click_Areas!$G:$G,MATCH(B52,Station_Click_Areas!$B:$B,0)),"")</f>
        <v>1144</v>
      </c>
      <c r="H52" s="11">
        <f>IF(F52="","",F52/Config!$B$2*100)</f>
        <v>32.5</v>
      </c>
      <c r="I52" s="11">
        <f>IF(G52="","",G52/Config!$B$3*100)</f>
        <v>39.722222222222221</v>
      </c>
      <c r="J52" s="5">
        <v>10.5</v>
      </c>
      <c r="K52" s="5" t="s">
        <v>932</v>
      </c>
      <c r="L52" s="5" t="s">
        <v>930</v>
      </c>
      <c r="M52" s="5">
        <v>0</v>
      </c>
      <c r="N52" s="5" t="s">
        <v>931</v>
      </c>
      <c r="O52" s="5"/>
    </row>
    <row r="53" spans="1:15" ht="15">
      <c r="A53" s="5" t="str">
        <f t="shared" si="0"/>
        <v>완료</v>
      </c>
      <c r="B53" s="5" t="s">
        <v>188</v>
      </c>
      <c r="C53" s="5" t="s">
        <v>188</v>
      </c>
      <c r="D53" s="5" t="s">
        <v>189</v>
      </c>
      <c r="E53" s="5" t="s">
        <v>97</v>
      </c>
      <c r="F53" s="9">
        <f>IFERROR(INDEX(Station_Click_Areas!$F:$F,MATCH(B53,Station_Click_Areas!$B:$B,0)),"")</f>
        <v>1752</v>
      </c>
      <c r="G53" s="9">
        <f>IFERROR(INDEX(Station_Click_Areas!$G:$G,MATCH(B53,Station_Click_Areas!$B:$B,0)),"")</f>
        <v>1144</v>
      </c>
      <c r="H53" s="11">
        <f>IF(F53="","",F53/Config!$B$2*100)</f>
        <v>34.21875</v>
      </c>
      <c r="I53" s="11">
        <f>IF(G53="","",G53/Config!$B$3*100)</f>
        <v>39.722222222222221</v>
      </c>
      <c r="J53" s="5">
        <v>12</v>
      </c>
      <c r="K53" s="5" t="s">
        <v>929</v>
      </c>
      <c r="L53" s="5" t="s">
        <v>930</v>
      </c>
      <c r="M53" s="5">
        <v>0</v>
      </c>
      <c r="N53" s="5" t="s">
        <v>931</v>
      </c>
      <c r="O53" s="5"/>
    </row>
    <row r="54" spans="1:15" ht="15">
      <c r="A54" s="5" t="str">
        <f t="shared" si="0"/>
        <v>완료</v>
      </c>
      <c r="B54" s="5" t="s">
        <v>190</v>
      </c>
      <c r="C54" s="5" t="s">
        <v>190</v>
      </c>
      <c r="D54" s="5" t="s">
        <v>191</v>
      </c>
      <c r="E54" s="5" t="s">
        <v>89</v>
      </c>
      <c r="F54" s="9">
        <f>IFERROR(INDEX(Station_Click_Areas!$F:$F,MATCH(B54,Station_Click_Areas!$B:$B,0)),"")</f>
        <v>2972</v>
      </c>
      <c r="G54" s="9">
        <f>IFERROR(INDEX(Station_Click_Areas!$G:$G,MATCH(B54,Station_Click_Areas!$B:$B,0)),"")</f>
        <v>1204</v>
      </c>
      <c r="H54" s="11">
        <f>IF(F54="","",F54/Config!$B$2*100)</f>
        <v>58.046875</v>
      </c>
      <c r="I54" s="11">
        <f>IF(G54="","",G54/Config!$B$3*100)</f>
        <v>41.805555555555557</v>
      </c>
      <c r="J54" s="5">
        <v>10.5</v>
      </c>
      <c r="K54" s="5" t="s">
        <v>932</v>
      </c>
      <c r="L54" s="5" t="s">
        <v>930</v>
      </c>
      <c r="M54" s="5">
        <v>0</v>
      </c>
      <c r="N54" s="5" t="s">
        <v>931</v>
      </c>
      <c r="O54" s="5"/>
    </row>
    <row r="55" spans="1:15" ht="15">
      <c r="A55" s="5" t="str">
        <f t="shared" si="0"/>
        <v>완료</v>
      </c>
      <c r="B55" s="5" t="s">
        <v>193</v>
      </c>
      <c r="C55" s="5" t="s">
        <v>193</v>
      </c>
      <c r="D55" s="5" t="s">
        <v>194</v>
      </c>
      <c r="E55" s="5" t="s">
        <v>89</v>
      </c>
      <c r="F55" s="9">
        <f>IFERROR(INDEX(Station_Click_Areas!$F:$F,MATCH(B55,Station_Click_Areas!$B:$B,0)),"")</f>
        <v>2972</v>
      </c>
      <c r="G55" s="9">
        <f>IFERROR(INDEX(Station_Click_Areas!$G:$G,MATCH(B55,Station_Click_Areas!$B:$B,0)),"")</f>
        <v>1064</v>
      </c>
      <c r="H55" s="11">
        <f>IF(F55="","",F55/Config!$B$2*100)</f>
        <v>58.046875</v>
      </c>
      <c r="I55" s="11">
        <f>IF(G55="","",G55/Config!$B$3*100)</f>
        <v>36.944444444444443</v>
      </c>
      <c r="J55" s="5">
        <v>10.5</v>
      </c>
      <c r="K55" s="5" t="s">
        <v>932</v>
      </c>
      <c r="L55" s="5" t="s">
        <v>930</v>
      </c>
      <c r="M55" s="5">
        <v>0</v>
      </c>
      <c r="N55" s="5" t="s">
        <v>931</v>
      </c>
      <c r="O55" s="5"/>
    </row>
    <row r="56" spans="1:15" ht="15">
      <c r="A56" s="5" t="str">
        <f t="shared" si="0"/>
        <v>완료</v>
      </c>
      <c r="B56" s="5" t="s">
        <v>195</v>
      </c>
      <c r="C56" s="5" t="s">
        <v>195</v>
      </c>
      <c r="D56" s="5" t="s">
        <v>196</v>
      </c>
      <c r="E56" s="5" t="s">
        <v>89</v>
      </c>
      <c r="F56" s="9">
        <f>IFERROR(INDEX(Station_Click_Areas!$F:$F,MATCH(B56,Station_Click_Areas!$B:$B,0)),"")</f>
        <v>2784</v>
      </c>
      <c r="G56" s="9">
        <f>IFERROR(INDEX(Station_Click_Areas!$G:$G,MATCH(B56,Station_Click_Areas!$B:$B,0)),"")</f>
        <v>1064</v>
      </c>
      <c r="H56" s="11">
        <f>IF(F56="","",F56/Config!$B$2*100)</f>
        <v>54.374999999999993</v>
      </c>
      <c r="I56" s="11">
        <f>IF(G56="","",G56/Config!$B$3*100)</f>
        <v>36.944444444444443</v>
      </c>
      <c r="J56" s="5">
        <v>10.5</v>
      </c>
      <c r="K56" s="5" t="s">
        <v>932</v>
      </c>
      <c r="L56" s="5" t="s">
        <v>930</v>
      </c>
      <c r="M56" s="5">
        <v>0</v>
      </c>
      <c r="N56" s="5" t="s">
        <v>931</v>
      </c>
      <c r="O56" s="5"/>
    </row>
    <row r="57" spans="1:15" ht="15">
      <c r="A57" s="5" t="str">
        <f t="shared" si="0"/>
        <v>완료</v>
      </c>
      <c r="B57" s="5" t="s">
        <v>197</v>
      </c>
      <c r="C57" s="5" t="s">
        <v>197</v>
      </c>
      <c r="D57" s="5" t="s">
        <v>198</v>
      </c>
      <c r="E57" s="5" t="s">
        <v>89</v>
      </c>
      <c r="F57" s="9">
        <f>IFERROR(INDEX(Station_Click_Areas!$F:$F,MATCH(B57,Station_Click_Areas!$B:$B,0)),"")</f>
        <v>1320</v>
      </c>
      <c r="G57" s="9">
        <f>IFERROR(INDEX(Station_Click_Areas!$G:$G,MATCH(B57,Station_Click_Areas!$B:$B,0)),"")</f>
        <v>1720</v>
      </c>
      <c r="H57" s="11">
        <f>IF(F57="","",F57/Config!$B$2*100)</f>
        <v>25.78125</v>
      </c>
      <c r="I57" s="11">
        <f>IF(G57="","",G57/Config!$B$3*100)</f>
        <v>59.722222222222221</v>
      </c>
      <c r="J57" s="5">
        <v>10.5</v>
      </c>
      <c r="K57" s="5" t="s">
        <v>932</v>
      </c>
      <c r="L57" s="5" t="s">
        <v>930</v>
      </c>
      <c r="M57" s="5">
        <v>0</v>
      </c>
      <c r="N57" s="5" t="s">
        <v>931</v>
      </c>
      <c r="O57" s="5"/>
    </row>
    <row r="58" spans="1:15" ht="15">
      <c r="A58" s="5" t="str">
        <f t="shared" si="0"/>
        <v>완료</v>
      </c>
      <c r="B58" s="5" t="s">
        <v>200</v>
      </c>
      <c r="C58" s="5" t="s">
        <v>200</v>
      </c>
      <c r="D58" s="5" t="s">
        <v>201</v>
      </c>
      <c r="E58" s="5" t="s">
        <v>89</v>
      </c>
      <c r="F58" s="9">
        <f>IFERROR(INDEX(Station_Click_Areas!$F:$F,MATCH(B58,Station_Click_Areas!$B:$B,0)),"")</f>
        <v>1220</v>
      </c>
      <c r="G58" s="9">
        <f>IFERROR(INDEX(Station_Click_Areas!$G:$G,MATCH(B58,Station_Click_Areas!$B:$B,0)),"")</f>
        <v>1620</v>
      </c>
      <c r="H58" s="11">
        <f>IF(F58="","",F58/Config!$B$2*100)</f>
        <v>23.828125</v>
      </c>
      <c r="I58" s="11">
        <f>IF(G58="","",G58/Config!$B$3*100)</f>
        <v>56.25</v>
      </c>
      <c r="J58" s="5">
        <v>10.5</v>
      </c>
      <c r="K58" s="5" t="s">
        <v>932</v>
      </c>
      <c r="L58" s="5" t="s">
        <v>930</v>
      </c>
      <c r="M58" s="5">
        <v>0</v>
      </c>
      <c r="N58" s="5" t="s">
        <v>931</v>
      </c>
      <c r="O58" s="5"/>
    </row>
    <row r="59" spans="1:15" ht="15">
      <c r="A59" s="5" t="str">
        <f t="shared" si="0"/>
        <v>완료</v>
      </c>
      <c r="B59" s="5" t="s">
        <v>202</v>
      </c>
      <c r="C59" s="5" t="s">
        <v>202</v>
      </c>
      <c r="D59" s="5" t="s">
        <v>203</v>
      </c>
      <c r="E59" s="5" t="s">
        <v>89</v>
      </c>
      <c r="F59" s="9">
        <f>IFERROR(INDEX(Station_Click_Areas!$F:$F,MATCH(B59,Station_Click_Areas!$B:$B,0)),"")</f>
        <v>1108</v>
      </c>
      <c r="G59" s="9">
        <f>IFERROR(INDEX(Station_Click_Areas!$G:$G,MATCH(B59,Station_Click_Areas!$B:$B,0)),"")</f>
        <v>1508</v>
      </c>
      <c r="H59" s="11">
        <f>IF(F59="","",F59/Config!$B$2*100)</f>
        <v>21.640625</v>
      </c>
      <c r="I59" s="11">
        <f>IF(G59="","",G59/Config!$B$3*100)</f>
        <v>52.361111111111114</v>
      </c>
      <c r="J59" s="5">
        <v>10.5</v>
      </c>
      <c r="K59" s="5" t="s">
        <v>932</v>
      </c>
      <c r="L59" s="5" t="s">
        <v>930</v>
      </c>
      <c r="M59" s="5">
        <v>0</v>
      </c>
      <c r="N59" s="5" t="s">
        <v>931</v>
      </c>
      <c r="O59" s="5"/>
    </row>
    <row r="60" spans="1:15" ht="15">
      <c r="A60" s="5" t="str">
        <f t="shared" si="0"/>
        <v>완료</v>
      </c>
      <c r="B60" s="5" t="s">
        <v>204</v>
      </c>
      <c r="C60" s="5" t="s">
        <v>204</v>
      </c>
      <c r="D60" s="5" t="s">
        <v>205</v>
      </c>
      <c r="E60" s="5" t="s">
        <v>97</v>
      </c>
      <c r="F60" s="9">
        <f>IFERROR(INDEX(Station_Click_Areas!$F:$F,MATCH(B60,Station_Click_Areas!$B:$B,0)),"")</f>
        <v>1108</v>
      </c>
      <c r="G60" s="9">
        <f>IFERROR(INDEX(Station_Click_Areas!$G:$G,MATCH(B60,Station_Click_Areas!$B:$B,0)),"")</f>
        <v>1348</v>
      </c>
      <c r="H60" s="11">
        <f>IF(F60="","",F60/Config!$B$2*100)</f>
        <v>21.640625</v>
      </c>
      <c r="I60" s="11">
        <f>IF(G60="","",G60/Config!$B$3*100)</f>
        <v>46.805555555555557</v>
      </c>
      <c r="J60" s="5">
        <v>12</v>
      </c>
      <c r="K60" s="5" t="s">
        <v>929</v>
      </c>
      <c r="L60" s="5" t="s">
        <v>930</v>
      </c>
      <c r="M60" s="5">
        <v>0</v>
      </c>
      <c r="N60" s="5" t="s">
        <v>931</v>
      </c>
      <c r="O60" s="5"/>
    </row>
    <row r="61" spans="1:15" ht="15">
      <c r="A61" s="5" t="str">
        <f t="shared" si="0"/>
        <v>완료</v>
      </c>
      <c r="B61" s="5" t="s">
        <v>207</v>
      </c>
      <c r="C61" s="5" t="s">
        <v>207</v>
      </c>
      <c r="D61" s="5" t="s">
        <v>208</v>
      </c>
      <c r="E61" s="5" t="s">
        <v>209</v>
      </c>
      <c r="F61" s="9">
        <f>IFERROR(INDEX(Station_Click_Areas!$F:$F,MATCH(B61,Station_Click_Areas!$B:$B,0)),"")</f>
        <v>984</v>
      </c>
      <c r="G61" s="9">
        <f>IFERROR(INDEX(Station_Click_Areas!$G:$G,MATCH(B61,Station_Click_Areas!$B:$B,0)),"")</f>
        <v>488</v>
      </c>
      <c r="H61" s="11">
        <f>IF(F61="","",F61/Config!$B$2*100)</f>
        <v>19.21875</v>
      </c>
      <c r="I61" s="11">
        <f>IF(G61="","",G61/Config!$B$3*100)</f>
        <v>16.944444444444446</v>
      </c>
      <c r="J61" s="5">
        <v>10.5</v>
      </c>
      <c r="K61" s="5" t="s">
        <v>932</v>
      </c>
      <c r="L61" s="5" t="s">
        <v>930</v>
      </c>
      <c r="M61" s="5">
        <v>0</v>
      </c>
      <c r="N61" s="5" t="s">
        <v>931</v>
      </c>
      <c r="O61" s="5"/>
    </row>
    <row r="62" spans="1:15" ht="15">
      <c r="A62" s="5" t="str">
        <f t="shared" si="0"/>
        <v>완료</v>
      </c>
      <c r="B62" s="5" t="s">
        <v>211</v>
      </c>
      <c r="C62" s="5" t="s">
        <v>211</v>
      </c>
      <c r="D62" s="5" t="s">
        <v>212</v>
      </c>
      <c r="E62" s="5" t="s">
        <v>209</v>
      </c>
      <c r="F62" s="9">
        <f>IFERROR(INDEX(Station_Click_Areas!$F:$F,MATCH(B62,Station_Click_Areas!$B:$B,0)),"")</f>
        <v>1140</v>
      </c>
      <c r="G62" s="9">
        <f>IFERROR(INDEX(Station_Click_Areas!$G:$G,MATCH(B62,Station_Click_Areas!$B:$B,0)),"")</f>
        <v>488</v>
      </c>
      <c r="H62" s="11">
        <f>IF(F62="","",F62/Config!$B$2*100)</f>
        <v>22.265625</v>
      </c>
      <c r="I62" s="11">
        <f>IF(G62="","",G62/Config!$B$3*100)</f>
        <v>16.944444444444446</v>
      </c>
      <c r="J62" s="5">
        <v>10.5</v>
      </c>
      <c r="K62" s="5" t="s">
        <v>932</v>
      </c>
      <c r="L62" s="5" t="s">
        <v>930</v>
      </c>
      <c r="M62" s="5">
        <v>0</v>
      </c>
      <c r="N62" s="5" t="s">
        <v>931</v>
      </c>
      <c r="O62" s="5"/>
    </row>
    <row r="63" spans="1:15" ht="15">
      <c r="A63" s="5" t="str">
        <f t="shared" si="0"/>
        <v>완료</v>
      </c>
      <c r="B63" s="5" t="s">
        <v>213</v>
      </c>
      <c r="C63" s="5" t="s">
        <v>213</v>
      </c>
      <c r="D63" s="5" t="s">
        <v>214</v>
      </c>
      <c r="E63" s="5" t="s">
        <v>215</v>
      </c>
      <c r="F63" s="9">
        <f>IFERROR(INDEX(Station_Click_Areas!$F:$F,MATCH(B63,Station_Click_Areas!$B:$B,0)),"")</f>
        <v>1296</v>
      </c>
      <c r="G63" s="9">
        <f>IFERROR(INDEX(Station_Click_Areas!$G:$G,MATCH(B63,Station_Click_Areas!$B:$B,0)),"")</f>
        <v>488</v>
      </c>
      <c r="H63" s="11">
        <f>IF(F63="","",F63/Config!$B$2*100)</f>
        <v>25.3125</v>
      </c>
      <c r="I63" s="11">
        <f>IF(G63="","",G63/Config!$B$3*100)</f>
        <v>16.944444444444446</v>
      </c>
      <c r="J63" s="5">
        <v>12</v>
      </c>
      <c r="K63" s="5" t="s">
        <v>929</v>
      </c>
      <c r="L63" s="5" t="s">
        <v>930</v>
      </c>
      <c r="M63" s="5">
        <v>0</v>
      </c>
      <c r="N63" s="5" t="s">
        <v>931</v>
      </c>
      <c r="O63" s="5"/>
    </row>
    <row r="64" spans="1:15" ht="15">
      <c r="A64" s="5" t="str">
        <f t="shared" si="0"/>
        <v>완료</v>
      </c>
      <c r="B64" s="5" t="s">
        <v>217</v>
      </c>
      <c r="C64" s="5" t="s">
        <v>217</v>
      </c>
      <c r="D64" s="5" t="s">
        <v>218</v>
      </c>
      <c r="E64" s="5" t="s">
        <v>215</v>
      </c>
      <c r="F64" s="9">
        <f>IFERROR(INDEX(Station_Click_Areas!$F:$F,MATCH(B64,Station_Click_Areas!$B:$B,0)),"")</f>
        <v>1460</v>
      </c>
      <c r="G64" s="9">
        <f>IFERROR(INDEX(Station_Click_Areas!$G:$G,MATCH(B64,Station_Click_Areas!$B:$B,0)),"")</f>
        <v>488</v>
      </c>
      <c r="H64" s="11">
        <f>IF(F64="","",F64/Config!$B$2*100)</f>
        <v>28.515625</v>
      </c>
      <c r="I64" s="11">
        <f>IF(G64="","",G64/Config!$B$3*100)</f>
        <v>16.944444444444446</v>
      </c>
      <c r="J64" s="5">
        <v>12</v>
      </c>
      <c r="K64" s="5" t="s">
        <v>929</v>
      </c>
      <c r="L64" s="5" t="s">
        <v>930</v>
      </c>
      <c r="M64" s="5">
        <v>0</v>
      </c>
      <c r="N64" s="5" t="s">
        <v>931</v>
      </c>
      <c r="O64" s="5"/>
    </row>
    <row r="65" spans="1:15" ht="15">
      <c r="A65" s="5" t="str">
        <f t="shared" si="0"/>
        <v>완료</v>
      </c>
      <c r="B65" s="5" t="s">
        <v>219</v>
      </c>
      <c r="C65" s="5" t="s">
        <v>219</v>
      </c>
      <c r="D65" s="5" t="s">
        <v>220</v>
      </c>
      <c r="E65" s="5" t="s">
        <v>209</v>
      </c>
      <c r="F65" s="9">
        <f>IFERROR(INDEX(Station_Click_Areas!$F:$F,MATCH(B65,Station_Click_Areas!$B:$B,0)),"")</f>
        <v>1616</v>
      </c>
      <c r="G65" s="9">
        <f>IFERROR(INDEX(Station_Click_Areas!$G:$G,MATCH(B65,Station_Click_Areas!$B:$B,0)),"")</f>
        <v>488</v>
      </c>
      <c r="H65" s="11">
        <f>IF(F65="","",F65/Config!$B$2*100)</f>
        <v>31.5625</v>
      </c>
      <c r="I65" s="11">
        <f>IF(G65="","",G65/Config!$B$3*100)</f>
        <v>16.944444444444446</v>
      </c>
      <c r="J65" s="5">
        <v>10.5</v>
      </c>
      <c r="K65" s="5" t="s">
        <v>932</v>
      </c>
      <c r="L65" s="5" t="s">
        <v>930</v>
      </c>
      <c r="M65" s="5">
        <v>0</v>
      </c>
      <c r="N65" s="5" t="s">
        <v>931</v>
      </c>
      <c r="O65" s="5"/>
    </row>
    <row r="66" spans="1:15" ht="15">
      <c r="A66" s="5" t="str">
        <f t="shared" ref="A66:A129" si="1">IF(OR(F66="",G66=""),"미작업","완료")</f>
        <v>완료</v>
      </c>
      <c r="B66" s="5" t="s">
        <v>221</v>
      </c>
      <c r="C66" s="5" t="s">
        <v>221</v>
      </c>
      <c r="D66" s="5" t="s">
        <v>222</v>
      </c>
      <c r="E66" s="5" t="s">
        <v>209</v>
      </c>
      <c r="F66" s="9">
        <f>IFERROR(INDEX(Station_Click_Areas!$F:$F,MATCH(B66,Station_Click_Areas!$B:$B,0)),"")</f>
        <v>1772</v>
      </c>
      <c r="G66" s="9">
        <f>IFERROR(INDEX(Station_Click_Areas!$G:$G,MATCH(B66,Station_Click_Areas!$B:$B,0)),"")</f>
        <v>488</v>
      </c>
      <c r="H66" s="11">
        <f>IF(F66="","",F66/Config!$B$2*100)</f>
        <v>34.609375</v>
      </c>
      <c r="I66" s="11">
        <f>IF(G66="","",G66/Config!$B$3*100)</f>
        <v>16.944444444444446</v>
      </c>
      <c r="J66" s="5">
        <v>10.5</v>
      </c>
      <c r="K66" s="5" t="s">
        <v>932</v>
      </c>
      <c r="L66" s="5" t="s">
        <v>930</v>
      </c>
      <c r="M66" s="5">
        <v>0</v>
      </c>
      <c r="N66" s="5" t="s">
        <v>931</v>
      </c>
      <c r="O66" s="5"/>
    </row>
    <row r="67" spans="1:15" ht="15">
      <c r="A67" s="5" t="str">
        <f t="shared" si="1"/>
        <v>완료</v>
      </c>
      <c r="B67" s="5" t="s">
        <v>223</v>
      </c>
      <c r="C67" s="5" t="s">
        <v>223</v>
      </c>
      <c r="D67" s="5" t="s">
        <v>224</v>
      </c>
      <c r="E67" s="5" t="s">
        <v>209</v>
      </c>
      <c r="F67" s="9">
        <f>IFERROR(INDEX(Station_Click_Areas!$F:$F,MATCH(B67,Station_Click_Areas!$B:$B,0)),"")</f>
        <v>1928</v>
      </c>
      <c r="G67" s="9">
        <f>IFERROR(INDEX(Station_Click_Areas!$G:$G,MATCH(B67,Station_Click_Areas!$B:$B,0)),"")</f>
        <v>488</v>
      </c>
      <c r="H67" s="11">
        <f>IF(F67="","",F67/Config!$B$2*100)</f>
        <v>37.65625</v>
      </c>
      <c r="I67" s="11">
        <f>IF(G67="","",G67/Config!$B$3*100)</f>
        <v>16.944444444444446</v>
      </c>
      <c r="J67" s="5">
        <v>10.5</v>
      </c>
      <c r="K67" s="5" t="s">
        <v>932</v>
      </c>
      <c r="L67" s="5" t="s">
        <v>930</v>
      </c>
      <c r="M67" s="5">
        <v>0</v>
      </c>
      <c r="N67" s="5" t="s">
        <v>931</v>
      </c>
      <c r="O67" s="5"/>
    </row>
    <row r="68" spans="1:15" ht="15">
      <c r="A68" s="5" t="str">
        <f t="shared" si="1"/>
        <v>완료</v>
      </c>
      <c r="B68" s="5" t="s">
        <v>225</v>
      </c>
      <c r="C68" s="5" t="s">
        <v>225</v>
      </c>
      <c r="D68" s="5" t="s">
        <v>226</v>
      </c>
      <c r="E68" s="5" t="s">
        <v>209</v>
      </c>
      <c r="F68" s="9">
        <f>IFERROR(INDEX(Station_Click_Areas!$F:$F,MATCH(B68,Station_Click_Areas!$B:$B,0)),"")</f>
        <v>2084</v>
      </c>
      <c r="G68" s="9">
        <f>IFERROR(INDEX(Station_Click_Areas!$G:$G,MATCH(B68,Station_Click_Areas!$B:$B,0)),"")</f>
        <v>488</v>
      </c>
      <c r="H68" s="11">
        <f>IF(F68="","",F68/Config!$B$2*100)</f>
        <v>40.703125</v>
      </c>
      <c r="I68" s="11">
        <f>IF(G68="","",G68/Config!$B$3*100)</f>
        <v>16.944444444444446</v>
      </c>
      <c r="J68" s="5">
        <v>10.5</v>
      </c>
      <c r="K68" s="5" t="s">
        <v>932</v>
      </c>
      <c r="L68" s="5" t="s">
        <v>930</v>
      </c>
      <c r="M68" s="5">
        <v>0</v>
      </c>
      <c r="N68" s="5" t="s">
        <v>931</v>
      </c>
      <c r="O68" s="5"/>
    </row>
    <row r="69" spans="1:15" ht="15">
      <c r="A69" s="5" t="str">
        <f t="shared" si="1"/>
        <v>완료</v>
      </c>
      <c r="B69" s="5" t="s">
        <v>227</v>
      </c>
      <c r="C69" s="5" t="s">
        <v>227</v>
      </c>
      <c r="D69" s="5" t="s">
        <v>228</v>
      </c>
      <c r="E69" s="5" t="s">
        <v>209</v>
      </c>
      <c r="F69" s="9">
        <f>IFERROR(INDEX(Station_Click_Areas!$F:$F,MATCH(B69,Station_Click_Areas!$B:$B,0)),"")</f>
        <v>2084</v>
      </c>
      <c r="G69" s="9">
        <f>IFERROR(INDEX(Station_Click_Areas!$G:$G,MATCH(B69,Station_Click_Areas!$B:$B,0)),"")</f>
        <v>648</v>
      </c>
      <c r="H69" s="11">
        <f>IF(F69="","",F69/Config!$B$2*100)</f>
        <v>40.703125</v>
      </c>
      <c r="I69" s="11">
        <f>IF(G69="","",G69/Config!$B$3*100)</f>
        <v>22.5</v>
      </c>
      <c r="J69" s="5">
        <v>10.5</v>
      </c>
      <c r="K69" s="5" t="s">
        <v>932</v>
      </c>
      <c r="L69" s="5" t="s">
        <v>930</v>
      </c>
      <c r="M69" s="5">
        <v>0</v>
      </c>
      <c r="N69" s="5" t="s">
        <v>931</v>
      </c>
      <c r="O69" s="5"/>
    </row>
    <row r="70" spans="1:15" ht="15">
      <c r="A70" s="5" t="str">
        <f t="shared" si="1"/>
        <v>완료</v>
      </c>
      <c r="B70" s="5" t="s">
        <v>230</v>
      </c>
      <c r="C70" s="5" t="s">
        <v>230</v>
      </c>
      <c r="D70" s="5" t="s">
        <v>231</v>
      </c>
      <c r="E70" s="5" t="s">
        <v>209</v>
      </c>
      <c r="F70" s="9">
        <f>IFERROR(INDEX(Station_Click_Areas!$F:$F,MATCH(B70,Station_Click_Areas!$B:$B,0)),"")</f>
        <v>2084</v>
      </c>
      <c r="G70" s="9">
        <f>IFERROR(INDEX(Station_Click_Areas!$G:$G,MATCH(B70,Station_Click_Areas!$B:$B,0)),"")</f>
        <v>808</v>
      </c>
      <c r="H70" s="11">
        <f>IF(F70="","",F70/Config!$B$2*100)</f>
        <v>40.703125</v>
      </c>
      <c r="I70" s="11">
        <f>IF(G70="","",G70/Config!$B$3*100)</f>
        <v>28.055555555555557</v>
      </c>
      <c r="J70" s="5">
        <v>10.5</v>
      </c>
      <c r="K70" s="5" t="s">
        <v>932</v>
      </c>
      <c r="L70" s="5" t="s">
        <v>930</v>
      </c>
      <c r="M70" s="5">
        <v>0</v>
      </c>
      <c r="N70" s="5" t="s">
        <v>931</v>
      </c>
      <c r="O70" s="5"/>
    </row>
    <row r="71" spans="1:15" ht="15">
      <c r="A71" s="5" t="str">
        <f t="shared" si="1"/>
        <v>완료</v>
      </c>
      <c r="B71" s="5" t="s">
        <v>232</v>
      </c>
      <c r="C71" s="5" t="s">
        <v>232</v>
      </c>
      <c r="D71" s="5" t="s">
        <v>233</v>
      </c>
      <c r="E71" s="5" t="s">
        <v>234</v>
      </c>
      <c r="F71" s="9">
        <f>IFERROR(INDEX(Station_Click_Areas!$F:$F,MATCH(B71,Station_Click_Areas!$B:$B,0)),"")</f>
        <v>2328</v>
      </c>
      <c r="G71" s="9">
        <f>IFERROR(INDEX(Station_Click_Areas!$G:$G,MATCH(B71,Station_Click_Areas!$B:$B,0)),"")</f>
        <v>1244</v>
      </c>
      <c r="H71" s="11">
        <f>IF(F71="","",F71/Config!$B$2*100)</f>
        <v>45.46875</v>
      </c>
      <c r="I71" s="11">
        <f>IF(G71="","",G71/Config!$B$3*100)</f>
        <v>43.194444444444443</v>
      </c>
      <c r="J71" s="5">
        <v>12</v>
      </c>
      <c r="K71" s="5" t="s">
        <v>929</v>
      </c>
      <c r="L71" s="5" t="s">
        <v>930</v>
      </c>
      <c r="M71" s="5">
        <v>0</v>
      </c>
      <c r="N71" s="5" t="s">
        <v>931</v>
      </c>
      <c r="O71" s="5"/>
    </row>
    <row r="72" spans="1:15" ht="15">
      <c r="A72" s="5" t="str">
        <f t="shared" si="1"/>
        <v>완료</v>
      </c>
      <c r="B72" s="5" t="s">
        <v>236</v>
      </c>
      <c r="C72" s="5" t="s">
        <v>236</v>
      </c>
      <c r="D72" s="5" t="s">
        <v>237</v>
      </c>
      <c r="E72" s="5" t="s">
        <v>209</v>
      </c>
      <c r="F72" s="9">
        <f>IFERROR(INDEX(Station_Click_Areas!$F:$F,MATCH(B72,Station_Click_Areas!$B:$B,0)),"")</f>
        <v>2404</v>
      </c>
      <c r="G72" s="9">
        <f>IFERROR(INDEX(Station_Click_Areas!$G:$G,MATCH(B72,Station_Click_Areas!$B:$B,0)),"")</f>
        <v>1356</v>
      </c>
      <c r="H72" s="11">
        <f>IF(F72="","",F72/Config!$B$2*100)</f>
        <v>46.953125</v>
      </c>
      <c r="I72" s="11">
        <f>IF(G72="","",G72/Config!$B$3*100)</f>
        <v>47.083333333333336</v>
      </c>
      <c r="J72" s="5">
        <v>10.5</v>
      </c>
      <c r="K72" s="5" t="s">
        <v>932</v>
      </c>
      <c r="L72" s="5" t="s">
        <v>930</v>
      </c>
      <c r="M72" s="5">
        <v>0</v>
      </c>
      <c r="N72" s="5" t="s">
        <v>931</v>
      </c>
      <c r="O72" s="5"/>
    </row>
    <row r="73" spans="1:15" ht="15">
      <c r="A73" s="5" t="str">
        <f t="shared" si="1"/>
        <v>완료</v>
      </c>
      <c r="B73" s="5" t="s">
        <v>238</v>
      </c>
      <c r="C73" s="5" t="s">
        <v>238</v>
      </c>
      <c r="D73" s="5" t="s">
        <v>239</v>
      </c>
      <c r="E73" s="5" t="s">
        <v>215</v>
      </c>
      <c r="F73" s="9">
        <f>IFERROR(INDEX(Station_Click_Areas!$F:$F,MATCH(B73,Station_Click_Areas!$B:$B,0)),"")</f>
        <v>2480</v>
      </c>
      <c r="G73" s="9">
        <f>IFERROR(INDEX(Station_Click_Areas!$G:$G,MATCH(B73,Station_Click_Areas!$B:$B,0)),"")</f>
        <v>1476</v>
      </c>
      <c r="H73" s="11">
        <f>IF(F73="","",F73/Config!$B$2*100)</f>
        <v>48.4375</v>
      </c>
      <c r="I73" s="11">
        <f>IF(G73="","",G73/Config!$B$3*100)</f>
        <v>51.249999999999993</v>
      </c>
      <c r="J73" s="5">
        <v>12</v>
      </c>
      <c r="K73" s="5" t="s">
        <v>929</v>
      </c>
      <c r="L73" s="5" t="s">
        <v>930</v>
      </c>
      <c r="M73" s="5">
        <v>0</v>
      </c>
      <c r="N73" s="5" t="s">
        <v>931</v>
      </c>
      <c r="O73" s="5"/>
    </row>
    <row r="74" spans="1:15" ht="15">
      <c r="A74" s="5" t="str">
        <f t="shared" si="1"/>
        <v>완료</v>
      </c>
      <c r="B74" s="5" t="s">
        <v>240</v>
      </c>
      <c r="C74" s="5" t="s">
        <v>240</v>
      </c>
      <c r="D74" s="5" t="s">
        <v>241</v>
      </c>
      <c r="E74" s="5" t="s">
        <v>209</v>
      </c>
      <c r="F74" s="9">
        <f>IFERROR(INDEX(Station_Click_Areas!$F:$F,MATCH(B74,Station_Click_Areas!$B:$B,0)),"")</f>
        <v>2480</v>
      </c>
      <c r="G74" s="9">
        <f>IFERROR(INDEX(Station_Click_Areas!$G:$G,MATCH(B74,Station_Click_Areas!$B:$B,0)),"")</f>
        <v>1556</v>
      </c>
      <c r="H74" s="11">
        <f>IF(F74="","",F74/Config!$B$2*100)</f>
        <v>48.4375</v>
      </c>
      <c r="I74" s="11">
        <f>IF(G74="","",G74/Config!$B$3*100)</f>
        <v>54.027777777777771</v>
      </c>
      <c r="J74" s="5">
        <v>10.5</v>
      </c>
      <c r="K74" s="5" t="s">
        <v>932</v>
      </c>
      <c r="L74" s="5" t="s">
        <v>930</v>
      </c>
      <c r="M74" s="5">
        <v>0</v>
      </c>
      <c r="N74" s="5" t="s">
        <v>931</v>
      </c>
      <c r="O74" s="5"/>
    </row>
    <row r="75" spans="1:15" ht="15">
      <c r="A75" s="5" t="str">
        <f t="shared" si="1"/>
        <v>완료</v>
      </c>
      <c r="B75" s="5" t="s">
        <v>242</v>
      </c>
      <c r="C75" s="5" t="s">
        <v>242</v>
      </c>
      <c r="D75" s="5" t="s">
        <v>243</v>
      </c>
      <c r="E75" s="5" t="s">
        <v>209</v>
      </c>
      <c r="F75" s="9">
        <f>IFERROR(INDEX(Station_Click_Areas!$F:$F,MATCH(B75,Station_Click_Areas!$B:$B,0)),"")</f>
        <v>2480</v>
      </c>
      <c r="G75" s="9">
        <f>IFERROR(INDEX(Station_Click_Areas!$G:$G,MATCH(B75,Station_Click_Areas!$B:$B,0)),"")</f>
        <v>1636</v>
      </c>
      <c r="H75" s="11">
        <f>IF(F75="","",F75/Config!$B$2*100)</f>
        <v>48.4375</v>
      </c>
      <c r="I75" s="11">
        <f>IF(G75="","",G75/Config!$B$3*100)</f>
        <v>56.805555555555557</v>
      </c>
      <c r="J75" s="5">
        <v>10.5</v>
      </c>
      <c r="K75" s="5" t="s">
        <v>932</v>
      </c>
      <c r="L75" s="5" t="s">
        <v>930</v>
      </c>
      <c r="M75" s="5">
        <v>0</v>
      </c>
      <c r="N75" s="5" t="s">
        <v>931</v>
      </c>
      <c r="O75" s="5"/>
    </row>
    <row r="76" spans="1:15" ht="15">
      <c r="A76" s="5" t="str">
        <f t="shared" si="1"/>
        <v>완료</v>
      </c>
      <c r="B76" s="5" t="s">
        <v>244</v>
      </c>
      <c r="C76" s="5" t="s">
        <v>244</v>
      </c>
      <c r="D76" s="5" t="s">
        <v>245</v>
      </c>
      <c r="E76" s="5" t="s">
        <v>209</v>
      </c>
      <c r="F76" s="9">
        <f>IFERROR(INDEX(Station_Click_Areas!$F:$F,MATCH(B76,Station_Click_Areas!$B:$B,0)),"")</f>
        <v>2480</v>
      </c>
      <c r="G76" s="9">
        <f>IFERROR(INDEX(Station_Click_Areas!$G:$G,MATCH(B76,Station_Click_Areas!$B:$B,0)),"")</f>
        <v>1760</v>
      </c>
      <c r="H76" s="11">
        <f>IF(F76="","",F76/Config!$B$2*100)</f>
        <v>48.4375</v>
      </c>
      <c r="I76" s="11">
        <f>IF(G76="","",G76/Config!$B$3*100)</f>
        <v>61.111111111111114</v>
      </c>
      <c r="J76" s="5">
        <v>10.5</v>
      </c>
      <c r="K76" s="5" t="s">
        <v>932</v>
      </c>
      <c r="L76" s="5" t="s">
        <v>930</v>
      </c>
      <c r="M76" s="5">
        <v>0</v>
      </c>
      <c r="N76" s="5" t="s">
        <v>931</v>
      </c>
      <c r="O76" s="5"/>
    </row>
    <row r="77" spans="1:15" ht="15">
      <c r="A77" s="5" t="str">
        <f t="shared" si="1"/>
        <v>완료</v>
      </c>
      <c r="B77" s="5" t="s">
        <v>246</v>
      </c>
      <c r="C77" s="5" t="s">
        <v>246</v>
      </c>
      <c r="D77" s="5" t="s">
        <v>247</v>
      </c>
      <c r="E77" s="5" t="s">
        <v>209</v>
      </c>
      <c r="F77" s="9">
        <f>IFERROR(INDEX(Station_Click_Areas!$F:$F,MATCH(B77,Station_Click_Areas!$B:$B,0)),"")</f>
        <v>2480</v>
      </c>
      <c r="G77" s="9">
        <f>IFERROR(INDEX(Station_Click_Areas!$G:$G,MATCH(B77,Station_Click_Areas!$B:$B,0)),"")</f>
        <v>1828</v>
      </c>
      <c r="H77" s="11">
        <f>IF(F77="","",F77/Config!$B$2*100)</f>
        <v>48.4375</v>
      </c>
      <c r="I77" s="11">
        <f>IF(G77="","",G77/Config!$B$3*100)</f>
        <v>63.472222222222221</v>
      </c>
      <c r="J77" s="5">
        <v>10.5</v>
      </c>
      <c r="K77" s="5" t="s">
        <v>932</v>
      </c>
      <c r="L77" s="5" t="s">
        <v>930</v>
      </c>
      <c r="M77" s="5">
        <v>0</v>
      </c>
      <c r="N77" s="5" t="s">
        <v>931</v>
      </c>
      <c r="O77" s="5"/>
    </row>
    <row r="78" spans="1:15" ht="15">
      <c r="A78" s="5" t="str">
        <f t="shared" si="1"/>
        <v>완료</v>
      </c>
      <c r="B78" s="5" t="s">
        <v>248</v>
      </c>
      <c r="C78" s="5" t="s">
        <v>248</v>
      </c>
      <c r="D78" s="5" t="s">
        <v>249</v>
      </c>
      <c r="E78" s="5" t="s">
        <v>209</v>
      </c>
      <c r="F78" s="9">
        <f>IFERROR(INDEX(Station_Click_Areas!$F:$F,MATCH(B78,Station_Click_Areas!$B:$B,0)),"")</f>
        <v>2480</v>
      </c>
      <c r="G78" s="9">
        <f>IFERROR(INDEX(Station_Click_Areas!$G:$G,MATCH(B78,Station_Click_Areas!$B:$B,0)),"")</f>
        <v>1884</v>
      </c>
      <c r="H78" s="11">
        <f>IF(F78="","",F78/Config!$B$2*100)</f>
        <v>48.4375</v>
      </c>
      <c r="I78" s="11">
        <f>IF(G78="","",G78/Config!$B$3*100)</f>
        <v>65.416666666666671</v>
      </c>
      <c r="J78" s="5">
        <v>10.5</v>
      </c>
      <c r="K78" s="5" t="s">
        <v>932</v>
      </c>
      <c r="L78" s="5" t="s">
        <v>930</v>
      </c>
      <c r="M78" s="5">
        <v>0</v>
      </c>
      <c r="N78" s="5" t="s">
        <v>931</v>
      </c>
      <c r="O78" s="5"/>
    </row>
    <row r="79" spans="1:15" ht="15">
      <c r="A79" s="5" t="str">
        <f t="shared" si="1"/>
        <v>완료</v>
      </c>
      <c r="B79" s="5" t="s">
        <v>250</v>
      </c>
      <c r="C79" s="5" t="s">
        <v>250</v>
      </c>
      <c r="D79" s="5" t="s">
        <v>251</v>
      </c>
      <c r="E79" s="5" t="s">
        <v>252</v>
      </c>
      <c r="F79" s="9">
        <f>IFERROR(INDEX(Station_Click_Areas!$F:$F,MATCH(B79,Station_Click_Areas!$B:$B,0)),"")</f>
        <v>2480</v>
      </c>
      <c r="G79" s="9">
        <f>IFERROR(INDEX(Station_Click_Areas!$G:$G,MATCH(B79,Station_Click_Areas!$B:$B,0)),"")</f>
        <v>1964</v>
      </c>
      <c r="H79" s="11">
        <f>IF(F79="","",F79/Config!$B$2*100)</f>
        <v>48.4375</v>
      </c>
      <c r="I79" s="11">
        <f>IF(G79="","",G79/Config!$B$3*100)</f>
        <v>68.194444444444443</v>
      </c>
      <c r="J79" s="5">
        <v>12</v>
      </c>
      <c r="K79" s="5" t="s">
        <v>929</v>
      </c>
      <c r="L79" s="5" t="s">
        <v>930</v>
      </c>
      <c r="M79" s="5">
        <v>0</v>
      </c>
      <c r="N79" s="5" t="s">
        <v>931</v>
      </c>
      <c r="O79" s="5"/>
    </row>
    <row r="80" spans="1:15" ht="15">
      <c r="A80" s="5" t="str">
        <f t="shared" si="1"/>
        <v>완료</v>
      </c>
      <c r="B80" s="5" t="s">
        <v>254</v>
      </c>
      <c r="C80" s="5" t="s">
        <v>254</v>
      </c>
      <c r="D80" s="5" t="s">
        <v>255</v>
      </c>
      <c r="E80" s="5" t="s">
        <v>209</v>
      </c>
      <c r="F80" s="9">
        <f>IFERROR(INDEX(Station_Click_Areas!$F:$F,MATCH(B80,Station_Click_Areas!$B:$B,0)),"")</f>
        <v>2480</v>
      </c>
      <c r="G80" s="9">
        <f>IFERROR(INDEX(Station_Click_Areas!$G:$G,MATCH(B80,Station_Click_Areas!$B:$B,0)),"")</f>
        <v>2252</v>
      </c>
      <c r="H80" s="11">
        <f>IF(F80="","",F80/Config!$B$2*100)</f>
        <v>48.4375</v>
      </c>
      <c r="I80" s="11">
        <f>IF(G80="","",G80/Config!$B$3*100)</f>
        <v>78.194444444444443</v>
      </c>
      <c r="J80" s="5">
        <v>10.5</v>
      </c>
      <c r="K80" s="5" t="s">
        <v>932</v>
      </c>
      <c r="L80" s="5" t="s">
        <v>930</v>
      </c>
      <c r="M80" s="5">
        <v>0</v>
      </c>
      <c r="N80" s="5" t="s">
        <v>931</v>
      </c>
      <c r="O80" s="5"/>
    </row>
    <row r="81" spans="1:15" ht="15">
      <c r="A81" s="5" t="str">
        <f t="shared" si="1"/>
        <v>완료</v>
      </c>
      <c r="B81" s="5" t="s">
        <v>256</v>
      </c>
      <c r="C81" s="5" t="s">
        <v>256</v>
      </c>
      <c r="D81" s="5" t="s">
        <v>257</v>
      </c>
      <c r="E81" s="5" t="s">
        <v>209</v>
      </c>
      <c r="F81" s="9">
        <f>IFERROR(INDEX(Station_Click_Areas!$F:$F,MATCH(B81,Station_Click_Areas!$B:$B,0)),"")</f>
        <v>2616</v>
      </c>
      <c r="G81" s="9">
        <f>IFERROR(INDEX(Station_Click_Areas!$G:$G,MATCH(B81,Station_Click_Areas!$B:$B,0)),"")</f>
        <v>2252</v>
      </c>
      <c r="H81" s="11">
        <f>IF(F81="","",F81/Config!$B$2*100)</f>
        <v>51.093750000000007</v>
      </c>
      <c r="I81" s="11">
        <f>IF(G81="","",G81/Config!$B$3*100)</f>
        <v>78.194444444444443</v>
      </c>
      <c r="J81" s="5">
        <v>10.5</v>
      </c>
      <c r="K81" s="5" t="s">
        <v>932</v>
      </c>
      <c r="L81" s="5" t="s">
        <v>930</v>
      </c>
      <c r="M81" s="5">
        <v>0</v>
      </c>
      <c r="N81" s="5" t="s">
        <v>931</v>
      </c>
      <c r="O81" s="5"/>
    </row>
    <row r="82" spans="1:15" ht="15">
      <c r="A82" s="5" t="str">
        <f t="shared" si="1"/>
        <v>완료</v>
      </c>
      <c r="B82" s="5" t="s">
        <v>258</v>
      </c>
      <c r="C82" s="5" t="s">
        <v>258</v>
      </c>
      <c r="D82" s="5" t="s">
        <v>259</v>
      </c>
      <c r="E82" s="5" t="s">
        <v>209</v>
      </c>
      <c r="F82" s="9">
        <f>IFERROR(INDEX(Station_Click_Areas!$F:$F,MATCH(B82,Station_Click_Areas!$B:$B,0)),"")</f>
        <v>2696</v>
      </c>
      <c r="G82" s="9">
        <f>IFERROR(INDEX(Station_Click_Areas!$G:$G,MATCH(B82,Station_Click_Areas!$B:$B,0)),"")</f>
        <v>2252</v>
      </c>
      <c r="H82" s="11">
        <f>IF(F82="","",F82/Config!$B$2*100)</f>
        <v>52.656250000000007</v>
      </c>
      <c r="I82" s="11">
        <f>IF(G82="","",G82/Config!$B$3*100)</f>
        <v>78.194444444444443</v>
      </c>
      <c r="J82" s="5">
        <v>10.5</v>
      </c>
      <c r="K82" s="5" t="s">
        <v>932</v>
      </c>
      <c r="L82" s="5" t="s">
        <v>930</v>
      </c>
      <c r="M82" s="5">
        <v>0</v>
      </c>
      <c r="N82" s="5" t="s">
        <v>931</v>
      </c>
      <c r="O82" s="5"/>
    </row>
    <row r="83" spans="1:15" ht="15">
      <c r="A83" s="5" t="str">
        <f t="shared" si="1"/>
        <v>완료</v>
      </c>
      <c r="B83" s="5" t="s">
        <v>260</v>
      </c>
      <c r="C83" s="5" t="s">
        <v>260</v>
      </c>
      <c r="D83" s="5" t="s">
        <v>261</v>
      </c>
      <c r="E83" s="5" t="s">
        <v>209</v>
      </c>
      <c r="F83" s="9">
        <f>IFERROR(INDEX(Station_Click_Areas!$F:$F,MATCH(B83,Station_Click_Areas!$B:$B,0)),"")</f>
        <v>2776</v>
      </c>
      <c r="G83" s="9">
        <f>IFERROR(INDEX(Station_Click_Areas!$G:$G,MATCH(B83,Station_Click_Areas!$B:$B,0)),"")</f>
        <v>2252</v>
      </c>
      <c r="H83" s="11">
        <f>IF(F83="","",F83/Config!$B$2*100)</f>
        <v>54.218750000000007</v>
      </c>
      <c r="I83" s="11">
        <f>IF(G83="","",G83/Config!$B$3*100)</f>
        <v>78.194444444444443</v>
      </c>
      <c r="J83" s="5">
        <v>10.5</v>
      </c>
      <c r="K83" s="5" t="s">
        <v>932</v>
      </c>
      <c r="L83" s="5" t="s">
        <v>930</v>
      </c>
      <c r="M83" s="5">
        <v>0</v>
      </c>
      <c r="N83" s="5" t="s">
        <v>931</v>
      </c>
      <c r="O83" s="5"/>
    </row>
    <row r="84" spans="1:15" ht="15">
      <c r="A84" s="5" t="str">
        <f t="shared" si="1"/>
        <v>완료</v>
      </c>
      <c r="B84" s="5" t="s">
        <v>262</v>
      </c>
      <c r="C84" s="5" t="s">
        <v>262</v>
      </c>
      <c r="D84" s="5" t="s">
        <v>263</v>
      </c>
      <c r="E84" s="5" t="s">
        <v>209</v>
      </c>
      <c r="F84" s="9">
        <f>IFERROR(INDEX(Station_Click_Areas!$F:$F,MATCH(B84,Station_Click_Areas!$B:$B,0)),"")</f>
        <v>2860</v>
      </c>
      <c r="G84" s="9">
        <f>IFERROR(INDEX(Station_Click_Areas!$G:$G,MATCH(B84,Station_Click_Areas!$B:$B,0)),"")</f>
        <v>2252</v>
      </c>
      <c r="H84" s="11">
        <f>IF(F84="","",F84/Config!$B$2*100)</f>
        <v>55.859375</v>
      </c>
      <c r="I84" s="11">
        <f>IF(G84="","",G84/Config!$B$3*100)</f>
        <v>78.194444444444443</v>
      </c>
      <c r="J84" s="5">
        <v>10.5</v>
      </c>
      <c r="K84" s="5" t="s">
        <v>932</v>
      </c>
      <c r="L84" s="5" t="s">
        <v>930</v>
      </c>
      <c r="M84" s="5">
        <v>0</v>
      </c>
      <c r="N84" s="5" t="s">
        <v>931</v>
      </c>
      <c r="O84" s="5"/>
    </row>
    <row r="85" spans="1:15" ht="15">
      <c r="A85" s="5" t="str">
        <f t="shared" si="1"/>
        <v>완료</v>
      </c>
      <c r="B85" s="5" t="s">
        <v>264</v>
      </c>
      <c r="C85" s="5" t="s">
        <v>264</v>
      </c>
      <c r="D85" s="5" t="s">
        <v>265</v>
      </c>
      <c r="E85" s="5" t="s">
        <v>209</v>
      </c>
      <c r="F85" s="9">
        <f>IFERROR(INDEX(Station_Click_Areas!$F:$F,MATCH(B85,Station_Click_Areas!$B:$B,0)),"")</f>
        <v>2944</v>
      </c>
      <c r="G85" s="9">
        <f>IFERROR(INDEX(Station_Click_Areas!$G:$G,MATCH(B85,Station_Click_Areas!$B:$B,0)),"")</f>
        <v>2252</v>
      </c>
      <c r="H85" s="11">
        <f>IF(F85="","",F85/Config!$B$2*100)</f>
        <v>57.499999999999993</v>
      </c>
      <c r="I85" s="11">
        <f>IF(G85="","",G85/Config!$B$3*100)</f>
        <v>78.194444444444443</v>
      </c>
      <c r="J85" s="5">
        <v>10.5</v>
      </c>
      <c r="K85" s="5" t="s">
        <v>932</v>
      </c>
      <c r="L85" s="5" t="s">
        <v>930</v>
      </c>
      <c r="M85" s="5">
        <v>0</v>
      </c>
      <c r="N85" s="5" t="s">
        <v>931</v>
      </c>
      <c r="O85" s="5"/>
    </row>
    <row r="86" spans="1:15" ht="15">
      <c r="A86" s="5" t="str">
        <f t="shared" si="1"/>
        <v>완료</v>
      </c>
      <c r="B86" s="5" t="s">
        <v>266</v>
      </c>
      <c r="C86" s="5" t="s">
        <v>266</v>
      </c>
      <c r="D86" s="5" t="s">
        <v>267</v>
      </c>
      <c r="E86" s="5" t="s">
        <v>209</v>
      </c>
      <c r="F86" s="9">
        <f>IFERROR(INDEX(Station_Click_Areas!$F:$F,MATCH(B86,Station_Click_Areas!$B:$B,0)),"")</f>
        <v>3028</v>
      </c>
      <c r="G86" s="9">
        <f>IFERROR(INDEX(Station_Click_Areas!$G:$G,MATCH(B86,Station_Click_Areas!$B:$B,0)),"")</f>
        <v>2252</v>
      </c>
      <c r="H86" s="11">
        <f>IF(F86="","",F86/Config!$B$2*100)</f>
        <v>59.140625</v>
      </c>
      <c r="I86" s="11">
        <f>IF(G86="","",G86/Config!$B$3*100)</f>
        <v>78.194444444444443</v>
      </c>
      <c r="J86" s="5">
        <v>10.5</v>
      </c>
      <c r="K86" s="5" t="s">
        <v>932</v>
      </c>
      <c r="L86" s="5" t="s">
        <v>930</v>
      </c>
      <c r="M86" s="5">
        <v>0</v>
      </c>
      <c r="N86" s="5" t="s">
        <v>931</v>
      </c>
      <c r="O86" s="5"/>
    </row>
    <row r="87" spans="1:15" ht="15">
      <c r="A87" s="5" t="str">
        <f t="shared" si="1"/>
        <v>완료</v>
      </c>
      <c r="B87" s="5" t="s">
        <v>268</v>
      </c>
      <c r="C87" s="5" t="s">
        <v>268</v>
      </c>
      <c r="D87" s="5" t="s">
        <v>269</v>
      </c>
      <c r="E87" s="5" t="s">
        <v>209</v>
      </c>
      <c r="F87" s="9">
        <f>IFERROR(INDEX(Station_Click_Areas!$F:$F,MATCH(B87,Station_Click_Areas!$B:$B,0)),"")</f>
        <v>3112</v>
      </c>
      <c r="G87" s="9">
        <f>IFERROR(INDEX(Station_Click_Areas!$G:$G,MATCH(B87,Station_Click_Areas!$B:$B,0)),"")</f>
        <v>2252</v>
      </c>
      <c r="H87" s="11">
        <f>IF(F87="","",F87/Config!$B$2*100)</f>
        <v>60.78125</v>
      </c>
      <c r="I87" s="11">
        <f>IF(G87="","",G87/Config!$B$3*100)</f>
        <v>78.194444444444443</v>
      </c>
      <c r="J87" s="5">
        <v>10.5</v>
      </c>
      <c r="K87" s="5" t="s">
        <v>932</v>
      </c>
      <c r="L87" s="5" t="s">
        <v>930</v>
      </c>
      <c r="M87" s="5">
        <v>0</v>
      </c>
      <c r="N87" s="5" t="s">
        <v>931</v>
      </c>
      <c r="O87" s="5"/>
    </row>
    <row r="88" spans="1:15" ht="15">
      <c r="A88" s="5" t="str">
        <f t="shared" si="1"/>
        <v>완료</v>
      </c>
      <c r="B88" s="5" t="s">
        <v>270</v>
      </c>
      <c r="C88" s="5" t="s">
        <v>270</v>
      </c>
      <c r="D88" s="5" t="s">
        <v>271</v>
      </c>
      <c r="E88" s="5" t="s">
        <v>209</v>
      </c>
      <c r="F88" s="9">
        <f>IFERROR(INDEX(Station_Click_Areas!$F:$F,MATCH(B88,Station_Click_Areas!$B:$B,0)),"")</f>
        <v>3232</v>
      </c>
      <c r="G88" s="9">
        <f>IFERROR(INDEX(Station_Click_Areas!$G:$G,MATCH(B88,Station_Click_Areas!$B:$B,0)),"")</f>
        <v>2328</v>
      </c>
      <c r="H88" s="11">
        <f>IF(F88="","",F88/Config!$B$2*100)</f>
        <v>63.125</v>
      </c>
      <c r="I88" s="11">
        <f>IF(G88="","",G88/Config!$B$3*100)</f>
        <v>80.833333333333329</v>
      </c>
      <c r="J88" s="5">
        <v>10.5</v>
      </c>
      <c r="K88" s="5" t="s">
        <v>932</v>
      </c>
      <c r="L88" s="5" t="s">
        <v>930</v>
      </c>
      <c r="M88" s="5">
        <v>0</v>
      </c>
      <c r="N88" s="5" t="s">
        <v>931</v>
      </c>
      <c r="O88" s="5"/>
    </row>
    <row r="89" spans="1:15" ht="15">
      <c r="A89" s="5" t="str">
        <f t="shared" si="1"/>
        <v>완료</v>
      </c>
      <c r="B89" s="5" t="s">
        <v>272</v>
      </c>
      <c r="C89" s="5" t="s">
        <v>272</v>
      </c>
      <c r="D89" s="5" t="s">
        <v>273</v>
      </c>
      <c r="E89" s="5" t="s">
        <v>274</v>
      </c>
      <c r="F89" s="9">
        <f>IFERROR(INDEX(Station_Click_Areas!$F:$F,MATCH(B89,Station_Click_Areas!$B:$B,0)),"")</f>
        <v>3300</v>
      </c>
      <c r="G89" s="9">
        <f>IFERROR(INDEX(Station_Click_Areas!$G:$G,MATCH(B89,Station_Click_Areas!$B:$B,0)),"")</f>
        <v>2140</v>
      </c>
      <c r="H89" s="11">
        <f>IF(F89="","",F89/Config!$B$2*100)</f>
        <v>64.453125</v>
      </c>
      <c r="I89" s="11">
        <f>IF(G89="","",G89/Config!$B$3*100)</f>
        <v>74.305555555555557</v>
      </c>
      <c r="J89" s="5">
        <v>12</v>
      </c>
      <c r="K89" s="5" t="s">
        <v>929</v>
      </c>
      <c r="L89" s="5" t="s">
        <v>930</v>
      </c>
      <c r="M89" s="5">
        <v>0</v>
      </c>
      <c r="N89" s="5" t="s">
        <v>931</v>
      </c>
      <c r="O89" s="5"/>
    </row>
    <row r="90" spans="1:15" ht="15">
      <c r="A90" s="5" t="str">
        <f t="shared" si="1"/>
        <v>완료</v>
      </c>
      <c r="B90" s="5" t="s">
        <v>276</v>
      </c>
      <c r="C90" s="5" t="s">
        <v>276</v>
      </c>
      <c r="D90" s="5" t="s">
        <v>277</v>
      </c>
      <c r="E90" s="5" t="s">
        <v>209</v>
      </c>
      <c r="F90" s="9">
        <f>IFERROR(INDEX(Station_Click_Areas!$F:$F,MATCH(B90,Station_Click_Areas!$B:$B,0)),"")</f>
        <v>3354</v>
      </c>
      <c r="G90" s="9">
        <f>IFERROR(INDEX(Station_Click_Areas!$G:$G,MATCH(B90,Station_Click_Areas!$B:$B,0)),"")</f>
        <v>1992</v>
      </c>
      <c r="H90" s="11">
        <f>IF(F90="","",F90/Config!$B$2*100)</f>
        <v>65.5078125</v>
      </c>
      <c r="I90" s="11">
        <f>IF(G90="","",G90/Config!$B$3*100)</f>
        <v>69.166666666666671</v>
      </c>
      <c r="J90" s="5">
        <v>10.5</v>
      </c>
      <c r="K90" s="5" t="s">
        <v>932</v>
      </c>
      <c r="L90" s="5" t="s">
        <v>930</v>
      </c>
      <c r="M90" s="5">
        <v>0</v>
      </c>
      <c r="N90" s="5" t="s">
        <v>931</v>
      </c>
      <c r="O90" s="5"/>
    </row>
    <row r="91" spans="1:15" ht="15">
      <c r="A91" s="5" t="str">
        <f t="shared" si="1"/>
        <v>완료</v>
      </c>
      <c r="B91" s="5" t="s">
        <v>278</v>
      </c>
      <c r="C91" s="5" t="s">
        <v>278</v>
      </c>
      <c r="D91" s="5" t="s">
        <v>279</v>
      </c>
      <c r="E91" s="5" t="s">
        <v>280</v>
      </c>
      <c r="F91" s="9">
        <f>IFERROR(INDEX(Station_Click_Areas!$F:$F,MATCH(B91,Station_Click_Areas!$B:$B,0)),"")</f>
        <v>3696</v>
      </c>
      <c r="G91" s="9">
        <f>IFERROR(INDEX(Station_Click_Areas!$G:$G,MATCH(B91,Station_Click_Areas!$B:$B,0)),"")</f>
        <v>1992</v>
      </c>
      <c r="H91" s="11">
        <f>IF(F91="","",F91/Config!$B$2*100)</f>
        <v>72.1875</v>
      </c>
      <c r="I91" s="11">
        <f>IF(G91="","",G91/Config!$B$3*100)</f>
        <v>69.166666666666671</v>
      </c>
      <c r="J91" s="5">
        <v>12</v>
      </c>
      <c r="K91" s="5" t="s">
        <v>929</v>
      </c>
      <c r="L91" s="5" t="s">
        <v>930</v>
      </c>
      <c r="M91" s="5">
        <v>0</v>
      </c>
      <c r="N91" s="5" t="s">
        <v>931</v>
      </c>
      <c r="O91" s="5"/>
    </row>
    <row r="92" spans="1:15" ht="15">
      <c r="A92" s="5" t="str">
        <f t="shared" si="1"/>
        <v>완료</v>
      </c>
      <c r="B92" s="5" t="s">
        <v>282</v>
      </c>
      <c r="C92" s="5" t="s">
        <v>282</v>
      </c>
      <c r="D92" s="5" t="s">
        <v>283</v>
      </c>
      <c r="E92" s="5" t="s">
        <v>284</v>
      </c>
      <c r="F92" s="9">
        <f>IFERROR(INDEX(Station_Click_Areas!$F:$F,MATCH(B92,Station_Click_Areas!$B:$B,0)),"")</f>
        <v>3744</v>
      </c>
      <c r="G92" s="9">
        <f>IFERROR(INDEX(Station_Click_Areas!$G:$G,MATCH(B92,Station_Click_Areas!$B:$B,0)),"")</f>
        <v>356</v>
      </c>
      <c r="H92" s="11">
        <f>IF(F92="","",F92/Config!$B$2*100)</f>
        <v>73.125</v>
      </c>
      <c r="I92" s="11">
        <f>IF(G92="","",G92/Config!$B$3*100)</f>
        <v>12.361111111111111</v>
      </c>
      <c r="J92" s="5">
        <v>10.5</v>
      </c>
      <c r="K92" s="5" t="s">
        <v>932</v>
      </c>
      <c r="L92" s="5" t="s">
        <v>930</v>
      </c>
      <c r="M92" s="5">
        <v>0</v>
      </c>
      <c r="N92" s="5" t="s">
        <v>931</v>
      </c>
      <c r="O92" s="5"/>
    </row>
    <row r="93" spans="1:15" ht="15">
      <c r="A93" s="5" t="str">
        <f t="shared" si="1"/>
        <v>완료</v>
      </c>
      <c r="B93" s="5" t="s">
        <v>287</v>
      </c>
      <c r="C93" s="5" t="s">
        <v>287</v>
      </c>
      <c r="D93" s="5" t="s">
        <v>288</v>
      </c>
      <c r="E93" s="5" t="s">
        <v>284</v>
      </c>
      <c r="F93" s="9">
        <f>IFERROR(INDEX(Station_Click_Areas!$F:$F,MATCH(B93,Station_Click_Areas!$B:$B,0)),"")</f>
        <v>3604</v>
      </c>
      <c r="G93" s="9">
        <f>IFERROR(INDEX(Station_Click_Areas!$G:$G,MATCH(B93,Station_Click_Areas!$B:$B,0)),"")</f>
        <v>356</v>
      </c>
      <c r="H93" s="11">
        <f>IF(F93="","",F93/Config!$B$2*100)</f>
        <v>70.390625</v>
      </c>
      <c r="I93" s="11">
        <f>IF(G93="","",G93/Config!$B$3*100)</f>
        <v>12.361111111111111</v>
      </c>
      <c r="J93" s="5">
        <v>10.5</v>
      </c>
      <c r="K93" s="5" t="s">
        <v>932</v>
      </c>
      <c r="L93" s="5" t="s">
        <v>930</v>
      </c>
      <c r="M93" s="5">
        <v>0</v>
      </c>
      <c r="N93" s="5" t="s">
        <v>931</v>
      </c>
      <c r="O93" s="5"/>
    </row>
    <row r="94" spans="1:15" ht="15">
      <c r="A94" s="5" t="str">
        <f t="shared" si="1"/>
        <v>완료</v>
      </c>
      <c r="B94" s="5" t="s">
        <v>289</v>
      </c>
      <c r="C94" s="5" t="s">
        <v>289</v>
      </c>
      <c r="D94" s="5" t="s">
        <v>290</v>
      </c>
      <c r="E94" s="5" t="s">
        <v>291</v>
      </c>
      <c r="F94" s="9">
        <f>IFERROR(INDEX(Station_Click_Areas!$F:$F,MATCH(B94,Station_Click_Areas!$B:$B,0)),"")</f>
        <v>3464</v>
      </c>
      <c r="G94" s="9">
        <f>IFERROR(INDEX(Station_Click_Areas!$G:$G,MATCH(B94,Station_Click_Areas!$B:$B,0)),"")</f>
        <v>356</v>
      </c>
      <c r="H94" s="11">
        <f>IF(F94="","",F94/Config!$B$2*100)</f>
        <v>67.65625</v>
      </c>
      <c r="I94" s="11">
        <f>IF(G94="","",G94/Config!$B$3*100)</f>
        <v>12.361111111111111</v>
      </c>
      <c r="J94" s="5">
        <v>12</v>
      </c>
      <c r="K94" s="5" t="s">
        <v>929</v>
      </c>
      <c r="L94" s="5" t="s">
        <v>930</v>
      </c>
      <c r="M94" s="5">
        <v>0</v>
      </c>
      <c r="N94" s="5" t="s">
        <v>931</v>
      </c>
      <c r="O94" s="5"/>
    </row>
    <row r="95" spans="1:15" ht="15">
      <c r="A95" s="5" t="str">
        <f t="shared" si="1"/>
        <v>완료</v>
      </c>
      <c r="B95" s="5" t="s">
        <v>293</v>
      </c>
      <c r="C95" s="5" t="s">
        <v>293</v>
      </c>
      <c r="D95" s="5" t="s">
        <v>294</v>
      </c>
      <c r="E95" s="5" t="s">
        <v>284</v>
      </c>
      <c r="F95" s="9">
        <f>IFERROR(INDEX(Station_Click_Areas!$F:$F,MATCH(B95,Station_Click_Areas!$B:$B,0)),"")</f>
        <v>3324</v>
      </c>
      <c r="G95" s="9">
        <f>IFERROR(INDEX(Station_Click_Areas!$G:$G,MATCH(B95,Station_Click_Areas!$B:$B,0)),"")</f>
        <v>458</v>
      </c>
      <c r="H95" s="11">
        <f>IF(F95="","",F95/Config!$B$2*100)</f>
        <v>64.921875</v>
      </c>
      <c r="I95" s="11">
        <f>IF(G95="","",G95/Config!$B$3*100)</f>
        <v>15.902777777777777</v>
      </c>
      <c r="J95" s="5">
        <v>10.5</v>
      </c>
      <c r="K95" s="5" t="s">
        <v>932</v>
      </c>
      <c r="L95" s="5" t="s">
        <v>930</v>
      </c>
      <c r="M95" s="5">
        <v>0</v>
      </c>
      <c r="N95" s="5" t="s">
        <v>931</v>
      </c>
      <c r="O95" s="5"/>
    </row>
    <row r="96" spans="1:15" ht="15">
      <c r="A96" s="5" t="str">
        <f t="shared" si="1"/>
        <v>완료</v>
      </c>
      <c r="B96" s="5" t="s">
        <v>295</v>
      </c>
      <c r="C96" s="5" t="s">
        <v>295</v>
      </c>
      <c r="D96" s="5" t="s">
        <v>296</v>
      </c>
      <c r="E96" s="5" t="s">
        <v>284</v>
      </c>
      <c r="F96" s="9">
        <f>IFERROR(INDEX(Station_Click_Areas!$F:$F,MATCH(B96,Station_Click_Areas!$B:$B,0)),"")</f>
        <v>3194</v>
      </c>
      <c r="G96" s="9">
        <f>IFERROR(INDEX(Station_Click_Areas!$G:$G,MATCH(B96,Station_Click_Areas!$B:$B,0)),"")</f>
        <v>554</v>
      </c>
      <c r="H96" s="11">
        <f>IF(F96="","",F96/Config!$B$2*100)</f>
        <v>62.382812499999993</v>
      </c>
      <c r="I96" s="11">
        <f>IF(G96="","",G96/Config!$B$3*100)</f>
        <v>19.236111111111111</v>
      </c>
      <c r="J96" s="5">
        <v>10.5</v>
      </c>
      <c r="K96" s="5" t="s">
        <v>932</v>
      </c>
      <c r="L96" s="5" t="s">
        <v>930</v>
      </c>
      <c r="M96" s="5">
        <v>0</v>
      </c>
      <c r="N96" s="5" t="s">
        <v>931</v>
      </c>
      <c r="O96" s="5"/>
    </row>
    <row r="97" spans="1:15" ht="15">
      <c r="A97" s="5" t="str">
        <f t="shared" si="1"/>
        <v>완료</v>
      </c>
      <c r="B97" s="5" t="s">
        <v>297</v>
      </c>
      <c r="C97" s="5" t="s">
        <v>297</v>
      </c>
      <c r="D97" s="5" t="s">
        <v>298</v>
      </c>
      <c r="E97" s="5" t="s">
        <v>284</v>
      </c>
      <c r="F97" s="9">
        <f>IFERROR(INDEX(Station_Click_Areas!$F:$F,MATCH(B97,Station_Click_Areas!$B:$B,0)),"")</f>
        <v>3064</v>
      </c>
      <c r="G97" s="9">
        <f>IFERROR(INDEX(Station_Click_Areas!$G:$G,MATCH(B97,Station_Click_Areas!$B:$B,0)),"")</f>
        <v>648</v>
      </c>
      <c r="H97" s="11">
        <f>IF(F97="","",F97/Config!$B$2*100)</f>
        <v>59.843749999999993</v>
      </c>
      <c r="I97" s="11">
        <f>IF(G97="","",G97/Config!$B$3*100)</f>
        <v>22.5</v>
      </c>
      <c r="J97" s="5">
        <v>10.5</v>
      </c>
      <c r="K97" s="5" t="s">
        <v>932</v>
      </c>
      <c r="L97" s="5" t="s">
        <v>930</v>
      </c>
      <c r="M97" s="5">
        <v>0</v>
      </c>
      <c r="N97" s="5" t="s">
        <v>931</v>
      </c>
      <c r="O97" s="5"/>
    </row>
    <row r="98" spans="1:15" ht="15">
      <c r="A98" s="5" t="str">
        <f t="shared" si="1"/>
        <v>완료</v>
      </c>
      <c r="B98" s="5" t="s">
        <v>299</v>
      </c>
      <c r="C98" s="5" t="s">
        <v>299</v>
      </c>
      <c r="D98" s="5" t="s">
        <v>300</v>
      </c>
      <c r="E98" s="5" t="s">
        <v>284</v>
      </c>
      <c r="F98" s="9">
        <f>IFERROR(INDEX(Station_Click_Areas!$F:$F,MATCH(B98,Station_Click_Areas!$B:$B,0)),"")</f>
        <v>2908</v>
      </c>
      <c r="G98" s="9">
        <f>IFERROR(INDEX(Station_Click_Areas!$G:$G,MATCH(B98,Station_Click_Areas!$B:$B,0)),"")</f>
        <v>648</v>
      </c>
      <c r="H98" s="11">
        <f>IF(F98="","",F98/Config!$B$2*100)</f>
        <v>56.796875</v>
      </c>
      <c r="I98" s="11">
        <f>IF(G98="","",G98/Config!$B$3*100)</f>
        <v>22.5</v>
      </c>
      <c r="J98" s="5">
        <v>10.5</v>
      </c>
      <c r="K98" s="5" t="s">
        <v>932</v>
      </c>
      <c r="L98" s="5" t="s">
        <v>930</v>
      </c>
      <c r="M98" s="5">
        <v>0</v>
      </c>
      <c r="N98" s="5" t="s">
        <v>931</v>
      </c>
      <c r="O98" s="5"/>
    </row>
    <row r="99" spans="1:15" ht="15">
      <c r="A99" s="5" t="str">
        <f t="shared" si="1"/>
        <v>완료</v>
      </c>
      <c r="B99" s="5" t="s">
        <v>301</v>
      </c>
      <c r="C99" s="5" t="s">
        <v>301</v>
      </c>
      <c r="D99" s="5" t="s">
        <v>302</v>
      </c>
      <c r="E99" s="5" t="s">
        <v>284</v>
      </c>
      <c r="F99" s="9">
        <f>IFERROR(INDEX(Station_Click_Areas!$F:$F,MATCH(B99,Station_Click_Areas!$B:$B,0)),"")</f>
        <v>2752</v>
      </c>
      <c r="G99" s="9">
        <f>IFERROR(INDEX(Station_Click_Areas!$G:$G,MATCH(B99,Station_Click_Areas!$B:$B,0)),"")</f>
        <v>648</v>
      </c>
      <c r="H99" s="11">
        <f>IF(F99="","",F99/Config!$B$2*100)</f>
        <v>53.75</v>
      </c>
      <c r="I99" s="11">
        <f>IF(G99="","",G99/Config!$B$3*100)</f>
        <v>22.5</v>
      </c>
      <c r="J99" s="5">
        <v>10.5</v>
      </c>
      <c r="K99" s="5" t="s">
        <v>932</v>
      </c>
      <c r="L99" s="5" t="s">
        <v>930</v>
      </c>
      <c r="M99" s="5">
        <v>0</v>
      </c>
      <c r="N99" s="5" t="s">
        <v>931</v>
      </c>
      <c r="O99" s="5"/>
    </row>
    <row r="100" spans="1:15" ht="15">
      <c r="A100" s="5" t="str">
        <f t="shared" si="1"/>
        <v>완료</v>
      </c>
      <c r="B100" s="5" t="s">
        <v>303</v>
      </c>
      <c r="C100" s="5" t="s">
        <v>303</v>
      </c>
      <c r="D100" s="5" t="s">
        <v>304</v>
      </c>
      <c r="E100" s="5" t="s">
        <v>284</v>
      </c>
      <c r="F100" s="9">
        <f>IFERROR(INDEX(Station_Click_Areas!$F:$F,MATCH(B100,Station_Click_Areas!$B:$B,0)),"")</f>
        <v>2596</v>
      </c>
      <c r="G100" s="9">
        <f>IFERROR(INDEX(Station_Click_Areas!$G:$G,MATCH(B100,Station_Click_Areas!$B:$B,0)),"")</f>
        <v>648</v>
      </c>
      <c r="H100" s="11">
        <f>IF(F100="","",F100/Config!$B$2*100)</f>
        <v>50.703125000000007</v>
      </c>
      <c r="I100" s="11">
        <f>IF(G100="","",G100/Config!$B$3*100)</f>
        <v>22.5</v>
      </c>
      <c r="J100" s="5">
        <v>10.5</v>
      </c>
      <c r="K100" s="5" t="s">
        <v>932</v>
      </c>
      <c r="L100" s="5" t="s">
        <v>930</v>
      </c>
      <c r="M100" s="5">
        <v>0</v>
      </c>
      <c r="N100" s="5" t="s">
        <v>931</v>
      </c>
      <c r="O100" s="5"/>
    </row>
    <row r="101" spans="1:15" ht="15">
      <c r="A101" s="5" t="str">
        <f t="shared" si="1"/>
        <v>완료</v>
      </c>
      <c r="B101" s="5" t="s">
        <v>305</v>
      </c>
      <c r="C101" s="5" t="s">
        <v>305</v>
      </c>
      <c r="D101" s="5" t="s">
        <v>306</v>
      </c>
      <c r="E101" s="5" t="s">
        <v>284</v>
      </c>
      <c r="F101" s="9">
        <f>IFERROR(INDEX(Station_Click_Areas!$F:$F,MATCH(B101,Station_Click_Areas!$B:$B,0)),"")</f>
        <v>2440</v>
      </c>
      <c r="G101" s="9">
        <f>IFERROR(INDEX(Station_Click_Areas!$G:$G,MATCH(B101,Station_Click_Areas!$B:$B,0)),"")</f>
        <v>648</v>
      </c>
      <c r="H101" s="11">
        <f>IF(F101="","",F101/Config!$B$2*100)</f>
        <v>47.65625</v>
      </c>
      <c r="I101" s="11">
        <f>IF(G101="","",G101/Config!$B$3*100)</f>
        <v>22.5</v>
      </c>
      <c r="J101" s="5">
        <v>10.5</v>
      </c>
      <c r="K101" s="5" t="s">
        <v>932</v>
      </c>
      <c r="L101" s="5" t="s">
        <v>930</v>
      </c>
      <c r="M101" s="5">
        <v>0</v>
      </c>
      <c r="N101" s="5" t="s">
        <v>931</v>
      </c>
      <c r="O101" s="5"/>
    </row>
    <row r="102" spans="1:15" ht="15">
      <c r="A102" s="5" t="str">
        <f t="shared" si="1"/>
        <v>완료</v>
      </c>
      <c r="B102" s="5" t="s">
        <v>307</v>
      </c>
      <c r="C102" s="5" t="s">
        <v>307</v>
      </c>
      <c r="D102" s="5" t="s">
        <v>308</v>
      </c>
      <c r="E102" s="5" t="s">
        <v>284</v>
      </c>
      <c r="F102" s="9">
        <f>IFERROR(INDEX(Station_Click_Areas!$F:$F,MATCH(B102,Station_Click_Areas!$B:$B,0)),"")</f>
        <v>2328</v>
      </c>
      <c r="G102" s="9">
        <f>IFERROR(INDEX(Station_Click_Areas!$G:$G,MATCH(B102,Station_Click_Areas!$B:$B,0)),"")</f>
        <v>772</v>
      </c>
      <c r="H102" s="11">
        <f>IF(F102="","",F102/Config!$B$2*100)</f>
        <v>45.46875</v>
      </c>
      <c r="I102" s="11">
        <f>IF(G102="","",G102/Config!$B$3*100)</f>
        <v>26.805555555555554</v>
      </c>
      <c r="J102" s="5">
        <v>10.5</v>
      </c>
      <c r="K102" s="5" t="s">
        <v>932</v>
      </c>
      <c r="L102" s="5" t="s">
        <v>930</v>
      </c>
      <c r="M102" s="5">
        <v>0</v>
      </c>
      <c r="N102" s="5" t="s">
        <v>931</v>
      </c>
      <c r="O102" s="5"/>
    </row>
    <row r="103" spans="1:15" ht="15">
      <c r="A103" s="5" t="str">
        <f t="shared" si="1"/>
        <v>완료</v>
      </c>
      <c r="B103" s="5" t="s">
        <v>309</v>
      </c>
      <c r="C103" s="5" t="s">
        <v>309</v>
      </c>
      <c r="D103" s="5" t="s">
        <v>310</v>
      </c>
      <c r="E103" s="5" t="s">
        <v>284</v>
      </c>
      <c r="F103" s="9">
        <f>IFERROR(INDEX(Station_Click_Areas!$F:$F,MATCH(B103,Station_Click_Areas!$B:$B,0)),"")</f>
        <v>2328</v>
      </c>
      <c r="G103" s="9">
        <f>IFERROR(INDEX(Station_Click_Areas!$G:$G,MATCH(B103,Station_Click_Areas!$B:$B,0)),"")</f>
        <v>876</v>
      </c>
      <c r="H103" s="11">
        <f>IF(F103="","",F103/Config!$B$2*100)</f>
        <v>45.46875</v>
      </c>
      <c r="I103" s="11">
        <f>IF(G103="","",G103/Config!$B$3*100)</f>
        <v>30.416666666666664</v>
      </c>
      <c r="J103" s="5">
        <v>10.5</v>
      </c>
      <c r="K103" s="5" t="s">
        <v>932</v>
      </c>
      <c r="L103" s="5" t="s">
        <v>930</v>
      </c>
      <c r="M103" s="5">
        <v>0</v>
      </c>
      <c r="N103" s="5" t="s">
        <v>931</v>
      </c>
      <c r="O103" s="5"/>
    </row>
    <row r="104" spans="1:15" ht="15">
      <c r="A104" s="5" t="str">
        <f t="shared" si="1"/>
        <v>완료</v>
      </c>
      <c r="B104" s="5" t="s">
        <v>311</v>
      </c>
      <c r="C104" s="5" t="s">
        <v>311</v>
      </c>
      <c r="D104" s="5" t="s">
        <v>312</v>
      </c>
      <c r="E104" s="5" t="s">
        <v>284</v>
      </c>
      <c r="F104" s="9">
        <f>IFERROR(INDEX(Station_Click_Areas!$F:$F,MATCH(B104,Station_Click_Areas!$B:$B,0)),"")</f>
        <v>2192</v>
      </c>
      <c r="G104" s="9">
        <f>IFERROR(INDEX(Station_Click_Areas!$G:$G,MATCH(B104,Station_Click_Areas!$B:$B,0)),"")</f>
        <v>1308</v>
      </c>
      <c r="H104" s="11">
        <f>IF(F104="","",F104/Config!$B$2*100)</f>
        <v>42.8125</v>
      </c>
      <c r="I104" s="11">
        <f>IF(G104="","",G104/Config!$B$3*100)</f>
        <v>45.416666666666664</v>
      </c>
      <c r="J104" s="5">
        <v>10.5</v>
      </c>
      <c r="K104" s="5" t="s">
        <v>932</v>
      </c>
      <c r="L104" s="5" t="s">
        <v>930</v>
      </c>
      <c r="M104" s="5">
        <v>0</v>
      </c>
      <c r="N104" s="5" t="s">
        <v>931</v>
      </c>
      <c r="O104" s="5"/>
    </row>
    <row r="105" spans="1:15" ht="15">
      <c r="A105" s="5" t="str">
        <f t="shared" si="1"/>
        <v>완료</v>
      </c>
      <c r="B105" s="5" t="s">
        <v>313</v>
      </c>
      <c r="C105" s="5" t="s">
        <v>313</v>
      </c>
      <c r="D105" s="5" t="s">
        <v>314</v>
      </c>
      <c r="E105" s="5" t="s">
        <v>284</v>
      </c>
      <c r="F105" s="9">
        <f>IFERROR(INDEX(Station_Click_Areas!$F:$F,MATCH(B105,Station_Click_Areas!$B:$B,0)),"")</f>
        <v>2076</v>
      </c>
      <c r="G105" s="9">
        <f>IFERROR(INDEX(Station_Click_Areas!$G:$G,MATCH(B105,Station_Click_Areas!$B:$B,0)),"")</f>
        <v>1308</v>
      </c>
      <c r="H105" s="11">
        <f>IF(F105="","",F105/Config!$B$2*100)</f>
        <v>40.546875</v>
      </c>
      <c r="I105" s="11">
        <f>IF(G105="","",G105/Config!$B$3*100)</f>
        <v>45.416666666666664</v>
      </c>
      <c r="J105" s="5">
        <v>10.5</v>
      </c>
      <c r="K105" s="5" t="s">
        <v>932</v>
      </c>
      <c r="L105" s="5" t="s">
        <v>930</v>
      </c>
      <c r="M105" s="5">
        <v>0</v>
      </c>
      <c r="N105" s="5" t="s">
        <v>931</v>
      </c>
      <c r="O105" s="5"/>
    </row>
    <row r="106" spans="1:15" ht="15">
      <c r="A106" s="5" t="str">
        <f t="shared" si="1"/>
        <v>완료</v>
      </c>
      <c r="B106" s="5" t="s">
        <v>315</v>
      </c>
      <c r="C106" s="5" t="s">
        <v>315</v>
      </c>
      <c r="D106" s="5" t="s">
        <v>316</v>
      </c>
      <c r="E106" s="5" t="s">
        <v>284</v>
      </c>
      <c r="F106" s="9">
        <f>IFERROR(INDEX(Station_Click_Areas!$F:$F,MATCH(B106,Station_Click_Areas!$B:$B,0)),"")</f>
        <v>1940</v>
      </c>
      <c r="G106" s="9">
        <f>IFERROR(INDEX(Station_Click_Areas!$G:$G,MATCH(B106,Station_Click_Areas!$B:$B,0)),"")</f>
        <v>1392</v>
      </c>
      <c r="H106" s="11">
        <f>IF(F106="","",F106/Config!$B$2*100)</f>
        <v>37.890625</v>
      </c>
      <c r="I106" s="11">
        <f>IF(G106="","",G106/Config!$B$3*100)</f>
        <v>48.333333333333336</v>
      </c>
      <c r="J106" s="5">
        <v>10.5</v>
      </c>
      <c r="K106" s="5" t="s">
        <v>932</v>
      </c>
      <c r="L106" s="5" t="s">
        <v>930</v>
      </c>
      <c r="M106" s="5">
        <v>0</v>
      </c>
      <c r="N106" s="5" t="s">
        <v>931</v>
      </c>
      <c r="O106" s="5"/>
    </row>
    <row r="107" spans="1:15" ht="15">
      <c r="A107" s="5" t="str">
        <f t="shared" si="1"/>
        <v>완료</v>
      </c>
      <c r="B107" s="5" t="s">
        <v>318</v>
      </c>
      <c r="C107" s="5" t="s">
        <v>318</v>
      </c>
      <c r="D107" s="5" t="s">
        <v>319</v>
      </c>
      <c r="E107" s="5" t="s">
        <v>320</v>
      </c>
      <c r="F107" s="9">
        <f>IFERROR(INDEX(Station_Click_Areas!$F:$F,MATCH(B107,Station_Click_Areas!$B:$B,0)),"")</f>
        <v>1940</v>
      </c>
      <c r="G107" s="9">
        <f>IFERROR(INDEX(Station_Click_Areas!$G:$G,MATCH(B107,Station_Click_Areas!$B:$B,0)),"")</f>
        <v>1476</v>
      </c>
      <c r="H107" s="11">
        <f>IF(F107="","",F107/Config!$B$2*100)</f>
        <v>37.890625</v>
      </c>
      <c r="I107" s="11">
        <f>IF(G107="","",G107/Config!$B$3*100)</f>
        <v>51.249999999999993</v>
      </c>
      <c r="J107" s="5">
        <v>12</v>
      </c>
      <c r="K107" s="5" t="s">
        <v>929</v>
      </c>
      <c r="L107" s="5" t="s">
        <v>930</v>
      </c>
      <c r="M107" s="5">
        <v>0</v>
      </c>
      <c r="N107" s="5" t="s">
        <v>931</v>
      </c>
      <c r="O107" s="5"/>
    </row>
    <row r="108" spans="1:15" ht="15">
      <c r="A108" s="5" t="str">
        <f t="shared" si="1"/>
        <v>완료</v>
      </c>
      <c r="B108" s="5" t="s">
        <v>322</v>
      </c>
      <c r="C108" s="5" t="s">
        <v>322</v>
      </c>
      <c r="D108" s="5" t="s">
        <v>323</v>
      </c>
      <c r="E108" s="5" t="s">
        <v>284</v>
      </c>
      <c r="F108" s="9">
        <f>IFERROR(INDEX(Station_Click_Areas!$F:$F,MATCH(B108,Station_Click_Areas!$B:$B,0)),"")</f>
        <v>2008</v>
      </c>
      <c r="G108" s="9">
        <f>IFERROR(INDEX(Station_Click_Areas!$G:$G,MATCH(B108,Station_Click_Areas!$B:$B,0)),"")</f>
        <v>1560</v>
      </c>
      <c r="H108" s="11">
        <f>IF(F108="","",F108/Config!$B$2*100)</f>
        <v>39.21875</v>
      </c>
      <c r="I108" s="11">
        <f>IF(G108="","",G108/Config!$B$3*100)</f>
        <v>54.166666666666664</v>
      </c>
      <c r="J108" s="5">
        <v>10.5</v>
      </c>
      <c r="K108" s="5" t="s">
        <v>932</v>
      </c>
      <c r="L108" s="5" t="s">
        <v>930</v>
      </c>
      <c r="M108" s="5">
        <v>0</v>
      </c>
      <c r="N108" s="5" t="s">
        <v>931</v>
      </c>
      <c r="O108" s="5"/>
    </row>
    <row r="109" spans="1:15" ht="15">
      <c r="A109" s="5" t="str">
        <f t="shared" si="1"/>
        <v>완료</v>
      </c>
      <c r="B109" s="5" t="s">
        <v>324</v>
      </c>
      <c r="C109" s="5" t="s">
        <v>324</v>
      </c>
      <c r="D109" s="5" t="s">
        <v>325</v>
      </c>
      <c r="E109" s="5" t="s">
        <v>284</v>
      </c>
      <c r="F109" s="9">
        <f>IFERROR(INDEX(Station_Click_Areas!$F:$F,MATCH(B109,Station_Click_Areas!$B:$B,0)),"")</f>
        <v>2072</v>
      </c>
      <c r="G109" s="9">
        <f>IFERROR(INDEX(Station_Click_Areas!$G:$G,MATCH(B109,Station_Click_Areas!$B:$B,0)),"")</f>
        <v>1632</v>
      </c>
      <c r="H109" s="11">
        <f>IF(F109="","",F109/Config!$B$2*100)</f>
        <v>40.46875</v>
      </c>
      <c r="I109" s="11">
        <f>IF(G109="","",G109/Config!$B$3*100)</f>
        <v>56.666666666666664</v>
      </c>
      <c r="J109" s="5">
        <v>10.5</v>
      </c>
      <c r="K109" s="5" t="s">
        <v>932</v>
      </c>
      <c r="L109" s="5" t="s">
        <v>930</v>
      </c>
      <c r="M109" s="5">
        <v>0</v>
      </c>
      <c r="N109" s="5" t="s">
        <v>931</v>
      </c>
      <c r="O109" s="5"/>
    </row>
    <row r="110" spans="1:15" ht="15">
      <c r="A110" s="5" t="str">
        <f t="shared" si="1"/>
        <v>완료</v>
      </c>
      <c r="B110" s="5" t="s">
        <v>326</v>
      </c>
      <c r="C110" s="5" t="s">
        <v>326</v>
      </c>
      <c r="D110" s="5" t="s">
        <v>327</v>
      </c>
      <c r="E110" s="5" t="s">
        <v>284</v>
      </c>
      <c r="F110" s="9">
        <f>IFERROR(INDEX(Station_Click_Areas!$F:$F,MATCH(B110,Station_Click_Areas!$B:$B,0)),"")</f>
        <v>2200</v>
      </c>
      <c r="G110" s="9">
        <f>IFERROR(INDEX(Station_Click_Areas!$G:$G,MATCH(B110,Station_Click_Areas!$B:$B,0)),"")</f>
        <v>1788</v>
      </c>
      <c r="H110" s="11">
        <f>IF(F110="","",F110/Config!$B$2*100)</f>
        <v>42.96875</v>
      </c>
      <c r="I110" s="11">
        <f>IF(G110="","",G110/Config!$B$3*100)</f>
        <v>62.083333333333336</v>
      </c>
      <c r="J110" s="5">
        <v>10.5</v>
      </c>
      <c r="K110" s="5" t="s">
        <v>932</v>
      </c>
      <c r="L110" s="5" t="s">
        <v>930</v>
      </c>
      <c r="M110" s="5">
        <v>0</v>
      </c>
      <c r="N110" s="5" t="s">
        <v>931</v>
      </c>
      <c r="O110" s="5"/>
    </row>
    <row r="111" spans="1:15" ht="15">
      <c r="A111" s="5" t="str">
        <f t="shared" si="1"/>
        <v>완료</v>
      </c>
      <c r="B111" s="5" t="s">
        <v>328</v>
      </c>
      <c r="C111" s="5" t="s">
        <v>328</v>
      </c>
      <c r="D111" s="5" t="s">
        <v>329</v>
      </c>
      <c r="E111" s="5" t="s">
        <v>291</v>
      </c>
      <c r="F111" s="9">
        <f>IFERROR(INDEX(Station_Click_Areas!$F:$F,MATCH(B111,Station_Click_Areas!$B:$B,0)),"")</f>
        <v>2200</v>
      </c>
      <c r="G111" s="9">
        <f>IFERROR(INDEX(Station_Click_Areas!$G:$G,MATCH(B111,Station_Click_Areas!$B:$B,0)),"")</f>
        <v>1964</v>
      </c>
      <c r="H111" s="11">
        <f>IF(F111="","",F111/Config!$B$2*100)</f>
        <v>42.96875</v>
      </c>
      <c r="I111" s="11">
        <f>IF(G111="","",G111/Config!$B$3*100)</f>
        <v>68.194444444444443</v>
      </c>
      <c r="J111" s="5">
        <v>12</v>
      </c>
      <c r="K111" s="5" t="s">
        <v>929</v>
      </c>
      <c r="L111" s="5" t="s">
        <v>930</v>
      </c>
      <c r="M111" s="5">
        <v>0</v>
      </c>
      <c r="N111" s="5" t="s">
        <v>931</v>
      </c>
      <c r="O111" s="5"/>
    </row>
    <row r="112" spans="1:15" ht="15">
      <c r="A112" s="5" t="str">
        <f t="shared" si="1"/>
        <v>완료</v>
      </c>
      <c r="B112" s="5" t="s">
        <v>331</v>
      </c>
      <c r="C112" s="5" t="s">
        <v>331</v>
      </c>
      <c r="D112" s="5" t="s">
        <v>332</v>
      </c>
      <c r="E112" s="5" t="s">
        <v>284</v>
      </c>
      <c r="F112" s="9">
        <f>IFERROR(INDEX(Station_Click_Areas!$F:$F,MATCH(B112,Station_Click_Areas!$B:$B,0)),"")</f>
        <v>2200</v>
      </c>
      <c r="G112" s="9">
        <f>IFERROR(INDEX(Station_Click_Areas!$G:$G,MATCH(B112,Station_Click_Areas!$B:$B,0)),"")</f>
        <v>2252</v>
      </c>
      <c r="H112" s="11">
        <f>IF(F112="","",F112/Config!$B$2*100)</f>
        <v>42.96875</v>
      </c>
      <c r="I112" s="11">
        <f>IF(G112="","",G112/Config!$B$3*100)</f>
        <v>78.194444444444443</v>
      </c>
      <c r="J112" s="5">
        <v>10.5</v>
      </c>
      <c r="K112" s="5" t="s">
        <v>932</v>
      </c>
      <c r="L112" s="5" t="s">
        <v>930</v>
      </c>
      <c r="M112" s="5">
        <v>0</v>
      </c>
      <c r="N112" s="5" t="s">
        <v>931</v>
      </c>
      <c r="O112" s="5"/>
    </row>
    <row r="113" spans="1:15" ht="15">
      <c r="A113" s="5" t="str">
        <f t="shared" si="1"/>
        <v>완료</v>
      </c>
      <c r="B113" s="5" t="s">
        <v>333</v>
      </c>
      <c r="C113" s="5" t="s">
        <v>333</v>
      </c>
      <c r="D113" s="5" t="s">
        <v>334</v>
      </c>
      <c r="E113" s="5" t="s">
        <v>335</v>
      </c>
      <c r="F113" s="9">
        <f>IFERROR(INDEX(Station_Click_Areas!$F:$F,MATCH(B113,Station_Click_Areas!$B:$B,0)),"")</f>
        <v>788</v>
      </c>
      <c r="G113" s="9">
        <f>IFERROR(INDEX(Station_Click_Areas!$G:$G,MATCH(B113,Station_Click_Areas!$B:$B,0)),"")</f>
        <v>828</v>
      </c>
      <c r="H113" s="11">
        <f>IF(F113="","",F113/Config!$B$2*100)</f>
        <v>15.390625</v>
      </c>
      <c r="I113" s="11">
        <f>IF(G113="","",G113/Config!$B$3*100)</f>
        <v>28.749999999999996</v>
      </c>
      <c r="J113" s="5">
        <v>10.5</v>
      </c>
      <c r="K113" s="5" t="s">
        <v>932</v>
      </c>
      <c r="L113" s="5" t="s">
        <v>930</v>
      </c>
      <c r="M113" s="5">
        <v>0</v>
      </c>
      <c r="N113" s="5" t="s">
        <v>931</v>
      </c>
      <c r="O113" s="5"/>
    </row>
    <row r="114" spans="1:15" ht="15">
      <c r="A114" s="5" t="str">
        <f t="shared" si="1"/>
        <v>완료</v>
      </c>
      <c r="B114" s="5" t="s">
        <v>337</v>
      </c>
      <c r="C114" s="5" t="s">
        <v>337</v>
      </c>
      <c r="D114" s="5" t="s">
        <v>338</v>
      </c>
      <c r="E114" s="5" t="s">
        <v>335</v>
      </c>
      <c r="F114" s="9">
        <f>IFERROR(INDEX(Station_Click_Areas!$F:$F,MATCH(B114,Station_Click_Areas!$B:$B,0)),"")</f>
        <v>788</v>
      </c>
      <c r="G114" s="9">
        <f>IFERROR(INDEX(Station_Click_Areas!$G:$G,MATCH(B114,Station_Click_Areas!$B:$B,0)),"")</f>
        <v>900</v>
      </c>
      <c r="H114" s="11">
        <f>IF(F114="","",F114/Config!$B$2*100)</f>
        <v>15.390625</v>
      </c>
      <c r="I114" s="11">
        <f>IF(G114="","",G114/Config!$B$3*100)</f>
        <v>31.25</v>
      </c>
      <c r="J114" s="5">
        <v>10.5</v>
      </c>
      <c r="K114" s="5" t="s">
        <v>932</v>
      </c>
      <c r="L114" s="5" t="s">
        <v>930</v>
      </c>
      <c r="M114" s="5">
        <v>0</v>
      </c>
      <c r="N114" s="5" t="s">
        <v>931</v>
      </c>
      <c r="O114" s="5"/>
    </row>
    <row r="115" spans="1:15" ht="15">
      <c r="A115" s="5" t="str">
        <f t="shared" si="1"/>
        <v>완료</v>
      </c>
      <c r="B115" s="5" t="s">
        <v>339</v>
      </c>
      <c r="C115" s="5" t="s">
        <v>339</v>
      </c>
      <c r="D115" s="5" t="s">
        <v>340</v>
      </c>
      <c r="E115" s="5" t="s">
        <v>335</v>
      </c>
      <c r="F115" s="9">
        <f>IFERROR(INDEX(Station_Click_Areas!$F:$F,MATCH(B115,Station_Click_Areas!$B:$B,0)),"")</f>
        <v>788</v>
      </c>
      <c r="G115" s="9">
        <f>IFERROR(INDEX(Station_Click_Areas!$G:$G,MATCH(B115,Station_Click_Areas!$B:$B,0)),"")</f>
        <v>972</v>
      </c>
      <c r="H115" s="11">
        <f>IF(F115="","",F115/Config!$B$2*100)</f>
        <v>15.390625</v>
      </c>
      <c r="I115" s="11">
        <f>IF(G115="","",G115/Config!$B$3*100)</f>
        <v>33.75</v>
      </c>
      <c r="J115" s="5">
        <v>10.5</v>
      </c>
      <c r="K115" s="5" t="s">
        <v>932</v>
      </c>
      <c r="L115" s="5" t="s">
        <v>930</v>
      </c>
      <c r="M115" s="5">
        <v>0</v>
      </c>
      <c r="N115" s="5" t="s">
        <v>931</v>
      </c>
      <c r="O115" s="5"/>
    </row>
    <row r="116" spans="1:15" ht="15">
      <c r="A116" s="5" t="str">
        <f t="shared" si="1"/>
        <v>완료</v>
      </c>
      <c r="B116" s="5" t="s">
        <v>341</v>
      </c>
      <c r="C116" s="5" t="s">
        <v>341</v>
      </c>
      <c r="D116" s="5" t="s">
        <v>342</v>
      </c>
      <c r="E116" s="5" t="s">
        <v>335</v>
      </c>
      <c r="F116" s="9">
        <f>IFERROR(INDEX(Station_Click_Areas!$F:$F,MATCH(B116,Station_Click_Areas!$B:$B,0)),"")</f>
        <v>828</v>
      </c>
      <c r="G116" s="9">
        <f>IFERROR(INDEX(Station_Click_Areas!$G:$G,MATCH(B116,Station_Click_Areas!$B:$B,0)),"")</f>
        <v>1066</v>
      </c>
      <c r="H116" s="11">
        <f>IF(F116="","",F116/Config!$B$2*100)</f>
        <v>16.171875</v>
      </c>
      <c r="I116" s="11">
        <f>IF(G116="","",G116/Config!$B$3*100)</f>
        <v>37.013888888888893</v>
      </c>
      <c r="J116" s="5">
        <v>10.5</v>
      </c>
      <c r="K116" s="5" t="s">
        <v>932</v>
      </c>
      <c r="L116" s="5" t="s">
        <v>930</v>
      </c>
      <c r="M116" s="5">
        <v>0</v>
      </c>
      <c r="N116" s="5" t="s">
        <v>931</v>
      </c>
      <c r="O116" s="5"/>
    </row>
    <row r="117" spans="1:15" ht="15">
      <c r="A117" s="5" t="str">
        <f t="shared" si="1"/>
        <v>완료</v>
      </c>
      <c r="B117" s="5" t="s">
        <v>343</v>
      </c>
      <c r="C117" s="5" t="s">
        <v>343</v>
      </c>
      <c r="D117" s="5" t="s">
        <v>344</v>
      </c>
      <c r="E117" s="5" t="s">
        <v>335</v>
      </c>
      <c r="F117" s="9">
        <f>IFERROR(INDEX(Station_Click_Areas!$F:$F,MATCH(B117,Station_Click_Areas!$B:$B,0)),"")</f>
        <v>880</v>
      </c>
      <c r="G117" s="9">
        <f>IFERROR(INDEX(Station_Click_Areas!$G:$G,MATCH(B117,Station_Click_Areas!$B:$B,0)),"")</f>
        <v>1120</v>
      </c>
      <c r="H117" s="11">
        <f>IF(F117="","",F117/Config!$B$2*100)</f>
        <v>17.1875</v>
      </c>
      <c r="I117" s="11">
        <f>IF(G117="","",G117/Config!$B$3*100)</f>
        <v>38.888888888888893</v>
      </c>
      <c r="J117" s="5">
        <v>10.5</v>
      </c>
      <c r="K117" s="5" t="s">
        <v>932</v>
      </c>
      <c r="L117" s="5" t="s">
        <v>930</v>
      </c>
      <c r="M117" s="5">
        <v>0</v>
      </c>
      <c r="N117" s="5" t="s">
        <v>931</v>
      </c>
      <c r="O117" s="5"/>
    </row>
    <row r="118" spans="1:15" ht="15">
      <c r="A118" s="5" t="str">
        <f t="shared" si="1"/>
        <v>완료</v>
      </c>
      <c r="B118" s="5" t="s">
        <v>345</v>
      </c>
      <c r="C118" s="5" t="s">
        <v>345</v>
      </c>
      <c r="D118" s="5" t="s">
        <v>346</v>
      </c>
      <c r="E118" s="5" t="s">
        <v>335</v>
      </c>
      <c r="F118" s="9">
        <f>IFERROR(INDEX(Station_Click_Areas!$F:$F,MATCH(B118,Station_Click_Areas!$B:$B,0)),"")</f>
        <v>938</v>
      </c>
      <c r="G118" s="9">
        <f>IFERROR(INDEX(Station_Click_Areas!$G:$G,MATCH(B118,Station_Click_Areas!$B:$B,0)),"")</f>
        <v>1176</v>
      </c>
      <c r="H118" s="11">
        <f>IF(F118="","",F118/Config!$B$2*100)</f>
        <v>18.3203125</v>
      </c>
      <c r="I118" s="11">
        <f>IF(G118="","",G118/Config!$B$3*100)</f>
        <v>40.833333333333336</v>
      </c>
      <c r="J118" s="5">
        <v>10.5</v>
      </c>
      <c r="K118" s="5" t="s">
        <v>932</v>
      </c>
      <c r="L118" s="5" t="s">
        <v>930</v>
      </c>
      <c r="M118" s="5">
        <v>0</v>
      </c>
      <c r="N118" s="5" t="s">
        <v>931</v>
      </c>
      <c r="O118" s="5"/>
    </row>
    <row r="119" spans="1:15" ht="15">
      <c r="A119" s="5" t="str">
        <f t="shared" si="1"/>
        <v>완료</v>
      </c>
      <c r="B119" s="5" t="s">
        <v>347</v>
      </c>
      <c r="C119" s="5" t="s">
        <v>347</v>
      </c>
      <c r="D119" s="5" t="s">
        <v>348</v>
      </c>
      <c r="E119" s="5" t="s">
        <v>335</v>
      </c>
      <c r="F119" s="9">
        <f>IFERROR(INDEX(Station_Click_Areas!$F:$F,MATCH(B119,Station_Click_Areas!$B:$B,0)),"")</f>
        <v>996</v>
      </c>
      <c r="G119" s="9">
        <f>IFERROR(INDEX(Station_Click_Areas!$G:$G,MATCH(B119,Station_Click_Areas!$B:$B,0)),"")</f>
        <v>1234</v>
      </c>
      <c r="H119" s="11">
        <f>IF(F119="","",F119/Config!$B$2*100)</f>
        <v>19.453125</v>
      </c>
      <c r="I119" s="11">
        <f>IF(G119="","",G119/Config!$B$3*100)</f>
        <v>42.847222222222221</v>
      </c>
      <c r="J119" s="5">
        <v>10.5</v>
      </c>
      <c r="K119" s="5" t="s">
        <v>932</v>
      </c>
      <c r="L119" s="5" t="s">
        <v>930</v>
      </c>
      <c r="M119" s="5">
        <v>0</v>
      </c>
      <c r="N119" s="5" t="s">
        <v>931</v>
      </c>
      <c r="O119" s="5"/>
    </row>
    <row r="120" spans="1:15" ht="15">
      <c r="A120" s="5" t="str">
        <f t="shared" si="1"/>
        <v>완료</v>
      </c>
      <c r="B120" s="5" t="s">
        <v>349</v>
      </c>
      <c r="C120" s="5" t="s">
        <v>349</v>
      </c>
      <c r="D120" s="5" t="s">
        <v>350</v>
      </c>
      <c r="E120" s="5" t="s">
        <v>335</v>
      </c>
      <c r="F120" s="9">
        <f>IFERROR(INDEX(Station_Click_Areas!$F:$F,MATCH(B120,Station_Click_Areas!$B:$B,0)),"")</f>
        <v>1054</v>
      </c>
      <c r="G120" s="9">
        <f>IFERROR(INDEX(Station_Click_Areas!$G:$G,MATCH(B120,Station_Click_Areas!$B:$B,0)),"")</f>
        <v>1296</v>
      </c>
      <c r="H120" s="11">
        <f>IF(F120="","",F120/Config!$B$2*100)</f>
        <v>20.5859375</v>
      </c>
      <c r="I120" s="11">
        <f>IF(G120="","",G120/Config!$B$3*100)</f>
        <v>45</v>
      </c>
      <c r="J120" s="5">
        <v>10.5</v>
      </c>
      <c r="K120" s="5" t="s">
        <v>932</v>
      </c>
      <c r="L120" s="5" t="s">
        <v>930</v>
      </c>
      <c r="M120" s="5">
        <v>0</v>
      </c>
      <c r="N120" s="5" t="s">
        <v>931</v>
      </c>
      <c r="O120" s="5"/>
    </row>
    <row r="121" spans="1:15" ht="15">
      <c r="A121" s="5" t="str">
        <f t="shared" si="1"/>
        <v>완료</v>
      </c>
      <c r="B121" s="5" t="s">
        <v>351</v>
      </c>
      <c r="C121" s="5" t="s">
        <v>351</v>
      </c>
      <c r="D121" s="5" t="s">
        <v>352</v>
      </c>
      <c r="E121" s="5" t="s">
        <v>335</v>
      </c>
      <c r="F121" s="9">
        <f>IFERROR(INDEX(Station_Click_Areas!$F:$F,MATCH(B121,Station_Click_Areas!$B:$B,0)),"")</f>
        <v>1180</v>
      </c>
      <c r="G121" s="9">
        <f>IFERROR(INDEX(Station_Click_Areas!$G:$G,MATCH(B121,Station_Click_Areas!$B:$B,0)),"")</f>
        <v>1420</v>
      </c>
      <c r="H121" s="11">
        <f>IF(F121="","",F121/Config!$B$2*100)</f>
        <v>23.046875</v>
      </c>
      <c r="I121" s="11">
        <f>IF(G121="","",G121/Config!$B$3*100)</f>
        <v>49.305555555555557</v>
      </c>
      <c r="J121" s="5">
        <v>10.5</v>
      </c>
      <c r="K121" s="5" t="s">
        <v>932</v>
      </c>
      <c r="L121" s="5" t="s">
        <v>930</v>
      </c>
      <c r="M121" s="5">
        <v>0</v>
      </c>
      <c r="N121" s="5" t="s">
        <v>931</v>
      </c>
      <c r="O121" s="5"/>
    </row>
    <row r="122" spans="1:15" ht="15">
      <c r="A122" s="5" t="str">
        <f t="shared" si="1"/>
        <v>완료</v>
      </c>
      <c r="B122" s="5" t="s">
        <v>353</v>
      </c>
      <c r="C122" s="5" t="s">
        <v>353</v>
      </c>
      <c r="D122" s="5" t="s">
        <v>354</v>
      </c>
      <c r="E122" s="5" t="s">
        <v>335</v>
      </c>
      <c r="F122" s="9">
        <f>IFERROR(INDEX(Station_Click_Areas!$F:$F,MATCH(B122,Station_Click_Areas!$B:$B,0)),"")</f>
        <v>1240</v>
      </c>
      <c r="G122" s="9">
        <f>IFERROR(INDEX(Station_Click_Areas!$G:$G,MATCH(B122,Station_Click_Areas!$B:$B,0)),"")</f>
        <v>1476</v>
      </c>
      <c r="H122" s="11">
        <f>IF(F122="","",F122/Config!$B$2*100)</f>
        <v>24.21875</v>
      </c>
      <c r="I122" s="11">
        <f>IF(G122="","",G122/Config!$B$3*100)</f>
        <v>51.249999999999993</v>
      </c>
      <c r="J122" s="5">
        <v>10.5</v>
      </c>
      <c r="K122" s="5" t="s">
        <v>932</v>
      </c>
      <c r="L122" s="5" t="s">
        <v>930</v>
      </c>
      <c r="M122" s="5">
        <v>0</v>
      </c>
      <c r="N122" s="5" t="s">
        <v>931</v>
      </c>
      <c r="O122" s="5"/>
    </row>
    <row r="123" spans="1:15" ht="15">
      <c r="A123" s="5" t="str">
        <f t="shared" si="1"/>
        <v>완료</v>
      </c>
      <c r="B123" s="5" t="s">
        <v>355</v>
      </c>
      <c r="C123" s="5" t="s">
        <v>355</v>
      </c>
      <c r="D123" s="5" t="s">
        <v>356</v>
      </c>
      <c r="E123" s="5" t="s">
        <v>335</v>
      </c>
      <c r="F123" s="9">
        <f>IFERROR(INDEX(Station_Click_Areas!$F:$F,MATCH(B123,Station_Click_Areas!$B:$B,0)),"")</f>
        <v>1296</v>
      </c>
      <c r="G123" s="9">
        <f>IFERROR(INDEX(Station_Click_Areas!$G:$G,MATCH(B123,Station_Click_Areas!$B:$B,0)),"")</f>
        <v>1536</v>
      </c>
      <c r="H123" s="11">
        <f>IF(F123="","",F123/Config!$B$2*100)</f>
        <v>25.3125</v>
      </c>
      <c r="I123" s="11">
        <f>IF(G123="","",G123/Config!$B$3*100)</f>
        <v>53.333333333333336</v>
      </c>
      <c r="J123" s="5">
        <v>10.5</v>
      </c>
      <c r="K123" s="5" t="s">
        <v>932</v>
      </c>
      <c r="L123" s="5" t="s">
        <v>930</v>
      </c>
      <c r="M123" s="5">
        <v>0</v>
      </c>
      <c r="N123" s="5" t="s">
        <v>931</v>
      </c>
      <c r="O123" s="5"/>
    </row>
    <row r="124" spans="1:15" ht="15">
      <c r="A124" s="5" t="str">
        <f t="shared" si="1"/>
        <v>완료</v>
      </c>
      <c r="B124" s="5" t="s">
        <v>357</v>
      </c>
      <c r="C124" s="5" t="s">
        <v>357</v>
      </c>
      <c r="D124" s="5" t="s">
        <v>358</v>
      </c>
      <c r="E124" s="5" t="s">
        <v>335</v>
      </c>
      <c r="F124" s="9">
        <f>IFERROR(INDEX(Station_Click_Areas!$F:$F,MATCH(B124,Station_Click_Areas!$B:$B,0)),"")</f>
        <v>1356</v>
      </c>
      <c r="G124" s="9">
        <f>IFERROR(INDEX(Station_Click_Areas!$G:$G,MATCH(B124,Station_Click_Areas!$B:$B,0)),"")</f>
        <v>1594</v>
      </c>
      <c r="H124" s="11">
        <f>IF(F124="","",F124/Config!$B$2*100)</f>
        <v>26.484375</v>
      </c>
      <c r="I124" s="11">
        <f>IF(G124="","",G124/Config!$B$3*100)</f>
        <v>55.347222222222229</v>
      </c>
      <c r="J124" s="5">
        <v>10.5</v>
      </c>
      <c r="K124" s="5" t="s">
        <v>932</v>
      </c>
      <c r="L124" s="5" t="s">
        <v>930</v>
      </c>
      <c r="M124" s="5">
        <v>0</v>
      </c>
      <c r="N124" s="5" t="s">
        <v>931</v>
      </c>
      <c r="O124" s="5"/>
    </row>
    <row r="125" spans="1:15" ht="15">
      <c r="A125" s="5" t="str">
        <f t="shared" si="1"/>
        <v>완료</v>
      </c>
      <c r="B125" s="5" t="s">
        <v>359</v>
      </c>
      <c r="C125" s="5" t="s">
        <v>359</v>
      </c>
      <c r="D125" s="5" t="s">
        <v>360</v>
      </c>
      <c r="E125" s="5" t="s">
        <v>335</v>
      </c>
      <c r="F125" s="9">
        <f>IFERROR(INDEX(Station_Click_Areas!$F:$F,MATCH(B125,Station_Click_Areas!$B:$B,0)),"")</f>
        <v>1504</v>
      </c>
      <c r="G125" s="9">
        <f>IFERROR(INDEX(Station_Click_Areas!$G:$G,MATCH(B125,Station_Click_Areas!$B:$B,0)),"")</f>
        <v>1740</v>
      </c>
      <c r="H125" s="11">
        <f>IF(F125="","",F125/Config!$B$2*100)</f>
        <v>29.375</v>
      </c>
      <c r="I125" s="11">
        <f>IF(G125="","",G125/Config!$B$3*100)</f>
        <v>60.416666666666664</v>
      </c>
      <c r="J125" s="5">
        <v>10.5</v>
      </c>
      <c r="K125" s="5" t="s">
        <v>932</v>
      </c>
      <c r="L125" s="5" t="s">
        <v>930</v>
      </c>
      <c r="M125" s="5">
        <v>0</v>
      </c>
      <c r="N125" s="5" t="s">
        <v>931</v>
      </c>
      <c r="O125" s="5"/>
    </row>
    <row r="126" spans="1:15" ht="15">
      <c r="A126" s="5" t="str">
        <f t="shared" si="1"/>
        <v>완료</v>
      </c>
      <c r="B126" s="5" t="s">
        <v>361</v>
      </c>
      <c r="C126" s="5" t="s">
        <v>361</v>
      </c>
      <c r="D126" s="5" t="s">
        <v>362</v>
      </c>
      <c r="E126" s="5" t="s">
        <v>335</v>
      </c>
      <c r="F126" s="9">
        <f>IFERROR(INDEX(Station_Click_Areas!$F:$F,MATCH(B126,Station_Click_Areas!$B:$B,0)),"")</f>
        <v>1600</v>
      </c>
      <c r="G126" s="9">
        <f>IFERROR(INDEX(Station_Click_Areas!$G:$G,MATCH(B126,Station_Click_Areas!$B:$B,0)),"")</f>
        <v>1832</v>
      </c>
      <c r="H126" s="11">
        <f>IF(F126="","",F126/Config!$B$2*100)</f>
        <v>31.25</v>
      </c>
      <c r="I126" s="11">
        <f>IF(G126="","",G126/Config!$B$3*100)</f>
        <v>63.611111111111107</v>
      </c>
      <c r="J126" s="5">
        <v>10.5</v>
      </c>
      <c r="K126" s="5" t="s">
        <v>932</v>
      </c>
      <c r="L126" s="5" t="s">
        <v>930</v>
      </c>
      <c r="M126" s="5">
        <v>0</v>
      </c>
      <c r="N126" s="5" t="s">
        <v>931</v>
      </c>
      <c r="O126" s="5"/>
    </row>
    <row r="127" spans="1:15" ht="15">
      <c r="A127" s="5" t="str">
        <f t="shared" si="1"/>
        <v>완료</v>
      </c>
      <c r="B127" s="5" t="s">
        <v>363</v>
      </c>
      <c r="C127" s="5" t="s">
        <v>363</v>
      </c>
      <c r="D127" s="5" t="s">
        <v>364</v>
      </c>
      <c r="E127" s="5" t="s">
        <v>335</v>
      </c>
      <c r="F127" s="9">
        <f>IFERROR(INDEX(Station_Click_Areas!$F:$F,MATCH(B127,Station_Click_Areas!$B:$B,0)),"")</f>
        <v>1684</v>
      </c>
      <c r="G127" s="9">
        <f>IFERROR(INDEX(Station_Click_Areas!$G:$G,MATCH(B127,Station_Click_Areas!$B:$B,0)),"")</f>
        <v>1750</v>
      </c>
      <c r="H127" s="11">
        <f>IF(F127="","",F127/Config!$B$2*100)</f>
        <v>32.890625</v>
      </c>
      <c r="I127" s="11">
        <f>IF(G127="","",G127/Config!$B$3*100)</f>
        <v>60.763888888888886</v>
      </c>
      <c r="J127" s="5">
        <v>10.5</v>
      </c>
      <c r="K127" s="5" t="s">
        <v>932</v>
      </c>
      <c r="L127" s="5" t="s">
        <v>930</v>
      </c>
      <c r="M127" s="5">
        <v>0</v>
      </c>
      <c r="N127" s="5" t="s">
        <v>931</v>
      </c>
      <c r="O127" s="5"/>
    </row>
    <row r="128" spans="1:15" ht="15">
      <c r="A128" s="5" t="str">
        <f t="shared" si="1"/>
        <v>완료</v>
      </c>
      <c r="B128" s="5" t="s">
        <v>365</v>
      </c>
      <c r="C128" s="5" t="s">
        <v>365</v>
      </c>
      <c r="D128" s="5" t="s">
        <v>366</v>
      </c>
      <c r="E128" s="5" t="s">
        <v>335</v>
      </c>
      <c r="F128" s="9">
        <f>IFERROR(INDEX(Station_Click_Areas!$F:$F,MATCH(B128,Station_Click_Areas!$B:$B,0)),"")</f>
        <v>1752</v>
      </c>
      <c r="G128" s="9">
        <f>IFERROR(INDEX(Station_Click_Areas!$G:$G,MATCH(B128,Station_Click_Areas!$B:$B,0)),"")</f>
        <v>1676</v>
      </c>
      <c r="H128" s="11">
        <f>IF(F128="","",F128/Config!$B$2*100)</f>
        <v>34.21875</v>
      </c>
      <c r="I128" s="11">
        <f>IF(G128="","",G128/Config!$B$3*100)</f>
        <v>58.19444444444445</v>
      </c>
      <c r="J128" s="5">
        <v>10.5</v>
      </c>
      <c r="K128" s="5" t="s">
        <v>932</v>
      </c>
      <c r="L128" s="5" t="s">
        <v>930</v>
      </c>
      <c r="M128" s="5">
        <v>0</v>
      </c>
      <c r="N128" s="5" t="s">
        <v>931</v>
      </c>
      <c r="O128" s="5"/>
    </row>
    <row r="129" spans="1:15" ht="15">
      <c r="A129" s="5" t="str">
        <f t="shared" si="1"/>
        <v>완료</v>
      </c>
      <c r="B129" s="5" t="s">
        <v>367</v>
      </c>
      <c r="C129" s="5" t="s">
        <v>367</v>
      </c>
      <c r="D129" s="5" t="s">
        <v>368</v>
      </c>
      <c r="E129" s="5" t="s">
        <v>335</v>
      </c>
      <c r="F129" s="9">
        <f>IFERROR(INDEX(Station_Click_Areas!$F:$F,MATCH(B129,Station_Click_Areas!$B:$B,0)),"")</f>
        <v>1752</v>
      </c>
      <c r="G129" s="9">
        <f>IFERROR(INDEX(Station_Click_Areas!$G:$G,MATCH(B129,Station_Click_Areas!$B:$B,0)),"")</f>
        <v>1576</v>
      </c>
      <c r="H129" s="11">
        <f>IF(F129="","",F129/Config!$B$2*100)</f>
        <v>34.21875</v>
      </c>
      <c r="I129" s="11">
        <f>IF(G129="","",G129/Config!$B$3*100)</f>
        <v>54.722222222222229</v>
      </c>
      <c r="J129" s="5">
        <v>10.5</v>
      </c>
      <c r="K129" s="5" t="s">
        <v>932</v>
      </c>
      <c r="L129" s="5" t="s">
        <v>930</v>
      </c>
      <c r="M129" s="5">
        <v>0</v>
      </c>
      <c r="N129" s="5" t="s">
        <v>931</v>
      </c>
      <c r="O129" s="5"/>
    </row>
    <row r="130" spans="1:15" ht="15">
      <c r="A130" s="5" t="str">
        <f t="shared" ref="A130:A193" si="2">IF(OR(F130="",G130=""),"미작업","완료")</f>
        <v>완료</v>
      </c>
      <c r="B130" s="5" t="s">
        <v>369</v>
      </c>
      <c r="C130" s="5" t="s">
        <v>369</v>
      </c>
      <c r="D130" s="5" t="s">
        <v>370</v>
      </c>
      <c r="E130" s="5" t="s">
        <v>371</v>
      </c>
      <c r="F130" s="9">
        <f>IFERROR(INDEX(Station_Click_Areas!$F:$F,MATCH(B130,Station_Click_Areas!$B:$B,0)),"")</f>
        <v>1752</v>
      </c>
      <c r="G130" s="9">
        <f>IFERROR(INDEX(Station_Click_Areas!$G:$G,MATCH(B130,Station_Click_Areas!$B:$B,0)),"")</f>
        <v>1476</v>
      </c>
      <c r="H130" s="11">
        <f>IF(F130="","",F130/Config!$B$2*100)</f>
        <v>34.21875</v>
      </c>
      <c r="I130" s="11">
        <f>IF(G130="","",G130/Config!$B$3*100)</f>
        <v>51.249999999999993</v>
      </c>
      <c r="J130" s="5">
        <v>12</v>
      </c>
      <c r="K130" s="5" t="s">
        <v>929</v>
      </c>
      <c r="L130" s="5" t="s">
        <v>930</v>
      </c>
      <c r="M130" s="5">
        <v>0</v>
      </c>
      <c r="N130" s="5" t="s">
        <v>931</v>
      </c>
      <c r="O130" s="5"/>
    </row>
    <row r="131" spans="1:15" ht="15">
      <c r="A131" s="5" t="str">
        <f t="shared" si="2"/>
        <v>완료</v>
      </c>
      <c r="B131" s="5" t="s">
        <v>373</v>
      </c>
      <c r="C131" s="5" t="s">
        <v>373</v>
      </c>
      <c r="D131" s="5" t="s">
        <v>374</v>
      </c>
      <c r="E131" s="5" t="s">
        <v>335</v>
      </c>
      <c r="F131" s="9">
        <f>IFERROR(INDEX(Station_Click_Areas!$F:$F,MATCH(B131,Station_Click_Areas!$B:$B,0)),"")</f>
        <v>1752</v>
      </c>
      <c r="G131" s="9">
        <f>IFERROR(INDEX(Station_Click_Areas!$G:$G,MATCH(B131,Station_Click_Areas!$B:$B,0)),"")</f>
        <v>1308</v>
      </c>
      <c r="H131" s="11">
        <f>IF(F131="","",F131/Config!$B$2*100)</f>
        <v>34.21875</v>
      </c>
      <c r="I131" s="11">
        <f>IF(G131="","",G131/Config!$B$3*100)</f>
        <v>45.416666666666664</v>
      </c>
      <c r="J131" s="5">
        <v>10.5</v>
      </c>
      <c r="K131" s="5" t="s">
        <v>932</v>
      </c>
      <c r="L131" s="5" t="s">
        <v>930</v>
      </c>
      <c r="M131" s="5">
        <v>0</v>
      </c>
      <c r="N131" s="5" t="s">
        <v>931</v>
      </c>
      <c r="O131" s="5"/>
    </row>
    <row r="132" spans="1:15" ht="15">
      <c r="A132" s="5" t="str">
        <f t="shared" si="2"/>
        <v>완료</v>
      </c>
      <c r="B132" s="5" t="s">
        <v>375</v>
      </c>
      <c r="C132" s="5" t="s">
        <v>375</v>
      </c>
      <c r="D132" s="5" t="s">
        <v>376</v>
      </c>
      <c r="E132" s="5" t="s">
        <v>335</v>
      </c>
      <c r="F132" s="9">
        <f>IFERROR(INDEX(Station_Click_Areas!$F:$F,MATCH(B132,Station_Click_Areas!$B:$B,0)),"")</f>
        <v>1752</v>
      </c>
      <c r="G132" s="9">
        <f>IFERROR(INDEX(Station_Click_Areas!$G:$G,MATCH(B132,Station_Click_Areas!$B:$B,0)),"")</f>
        <v>980</v>
      </c>
      <c r="H132" s="11">
        <f>IF(F132="","",F132/Config!$B$2*100)</f>
        <v>34.21875</v>
      </c>
      <c r="I132" s="11">
        <f>IF(G132="","",G132/Config!$B$3*100)</f>
        <v>34.027777777777779</v>
      </c>
      <c r="J132" s="5">
        <v>10.5</v>
      </c>
      <c r="K132" s="5" t="s">
        <v>932</v>
      </c>
      <c r="L132" s="5" t="s">
        <v>930</v>
      </c>
      <c r="M132" s="5">
        <v>0</v>
      </c>
      <c r="N132" s="5" t="s">
        <v>931</v>
      </c>
      <c r="O132" s="5"/>
    </row>
    <row r="133" spans="1:15" ht="15">
      <c r="A133" s="5" t="str">
        <f t="shared" si="2"/>
        <v>완료</v>
      </c>
      <c r="B133" s="5" t="s">
        <v>377</v>
      </c>
      <c r="C133" s="5" t="s">
        <v>377</v>
      </c>
      <c r="D133" s="5" t="s">
        <v>378</v>
      </c>
      <c r="E133" s="5" t="s">
        <v>335</v>
      </c>
      <c r="F133" s="9">
        <f>IFERROR(INDEX(Station_Click_Areas!$F:$F,MATCH(B133,Station_Click_Areas!$B:$B,0)),"")</f>
        <v>1916</v>
      </c>
      <c r="G133" s="9">
        <f>IFERROR(INDEX(Station_Click_Areas!$G:$G,MATCH(B133,Station_Click_Areas!$B:$B,0)),"")</f>
        <v>980</v>
      </c>
      <c r="H133" s="11">
        <f>IF(F133="","",F133/Config!$B$2*100)</f>
        <v>37.421875</v>
      </c>
      <c r="I133" s="11">
        <f>IF(G133="","",G133/Config!$B$3*100)</f>
        <v>34.027777777777779</v>
      </c>
      <c r="J133" s="5">
        <v>10.5</v>
      </c>
      <c r="K133" s="5" t="s">
        <v>932</v>
      </c>
      <c r="L133" s="5" t="s">
        <v>930</v>
      </c>
      <c r="M133" s="5">
        <v>0</v>
      </c>
      <c r="N133" s="5" t="s">
        <v>931</v>
      </c>
      <c r="O133" s="5"/>
    </row>
    <row r="134" spans="1:15" ht="15">
      <c r="A134" s="5" t="str">
        <f t="shared" si="2"/>
        <v>완료</v>
      </c>
      <c r="B134" s="5" t="s">
        <v>380</v>
      </c>
      <c r="C134" s="5" t="s">
        <v>380</v>
      </c>
      <c r="D134" s="5" t="s">
        <v>381</v>
      </c>
      <c r="E134" s="5" t="s">
        <v>371</v>
      </c>
      <c r="F134" s="9">
        <f>IFERROR(INDEX(Station_Click_Areas!$F:$F,MATCH(B134,Station_Click_Areas!$B:$B,0)),"")</f>
        <v>2528</v>
      </c>
      <c r="G134" s="9">
        <f>IFERROR(INDEX(Station_Click_Areas!$G:$G,MATCH(B134,Station_Click_Areas!$B:$B,0)),"")</f>
        <v>1244</v>
      </c>
      <c r="H134" s="11">
        <f>IF(F134="","",F134/Config!$B$2*100)</f>
        <v>49.375</v>
      </c>
      <c r="I134" s="11">
        <f>IF(G134="","",G134/Config!$B$3*100)</f>
        <v>43.194444444444443</v>
      </c>
      <c r="J134" s="5">
        <v>12</v>
      </c>
      <c r="K134" s="5" t="s">
        <v>929</v>
      </c>
      <c r="L134" s="5" t="s">
        <v>930</v>
      </c>
      <c r="M134" s="5">
        <v>0</v>
      </c>
      <c r="N134" s="5" t="s">
        <v>931</v>
      </c>
      <c r="O134" s="5"/>
    </row>
    <row r="135" spans="1:15" ht="15">
      <c r="A135" s="5" t="str">
        <f t="shared" si="2"/>
        <v>완료</v>
      </c>
      <c r="B135" s="5" t="s">
        <v>382</v>
      </c>
      <c r="C135" s="5" t="s">
        <v>382</v>
      </c>
      <c r="D135" s="5" t="s">
        <v>383</v>
      </c>
      <c r="E135" s="5" t="s">
        <v>335</v>
      </c>
      <c r="F135" s="9">
        <f>IFERROR(INDEX(Station_Click_Areas!$F:$F,MATCH(B135,Station_Click_Areas!$B:$B,0)),"")</f>
        <v>2628</v>
      </c>
      <c r="G135" s="9">
        <f>IFERROR(INDEX(Station_Click_Areas!$G:$G,MATCH(B135,Station_Click_Areas!$B:$B,0)),"")</f>
        <v>1344</v>
      </c>
      <c r="H135" s="11">
        <f>IF(F135="","",F135/Config!$B$2*100)</f>
        <v>51.328125</v>
      </c>
      <c r="I135" s="11">
        <f>IF(G135="","",G135/Config!$B$3*100)</f>
        <v>46.666666666666664</v>
      </c>
      <c r="J135" s="5">
        <v>10.5</v>
      </c>
      <c r="K135" s="5" t="s">
        <v>932</v>
      </c>
      <c r="L135" s="5" t="s">
        <v>930</v>
      </c>
      <c r="M135" s="5">
        <v>0</v>
      </c>
      <c r="N135" s="5" t="s">
        <v>931</v>
      </c>
      <c r="O135" s="5"/>
    </row>
    <row r="136" spans="1:15" ht="15">
      <c r="A136" s="5" t="str">
        <f t="shared" si="2"/>
        <v>완료</v>
      </c>
      <c r="B136" s="5" t="s">
        <v>384</v>
      </c>
      <c r="C136" s="5" t="s">
        <v>384</v>
      </c>
      <c r="D136" s="5" t="s">
        <v>385</v>
      </c>
      <c r="E136" s="5" t="s">
        <v>335</v>
      </c>
      <c r="F136" s="9">
        <f>IFERROR(INDEX(Station_Click_Areas!$F:$F,MATCH(B136,Station_Click_Areas!$B:$B,0)),"")</f>
        <v>2740</v>
      </c>
      <c r="G136" s="9">
        <f>IFERROR(INDEX(Station_Click_Areas!$G:$G,MATCH(B136,Station_Click_Areas!$B:$B,0)),"")</f>
        <v>1244</v>
      </c>
      <c r="H136" s="11">
        <f>IF(F136="","",F136/Config!$B$2*100)</f>
        <v>53.515625</v>
      </c>
      <c r="I136" s="11">
        <f>IF(G136="","",G136/Config!$B$3*100)</f>
        <v>43.194444444444443</v>
      </c>
      <c r="J136" s="5">
        <v>10.5</v>
      </c>
      <c r="K136" s="5" t="s">
        <v>932</v>
      </c>
      <c r="L136" s="5" t="s">
        <v>930</v>
      </c>
      <c r="M136" s="5">
        <v>0</v>
      </c>
      <c r="N136" s="5" t="s">
        <v>931</v>
      </c>
      <c r="O136" s="5"/>
    </row>
    <row r="137" spans="1:15" ht="15">
      <c r="A137" s="5" t="str">
        <f t="shared" si="2"/>
        <v>완료</v>
      </c>
      <c r="B137" s="5" t="s">
        <v>386</v>
      </c>
      <c r="C137" s="5" t="s">
        <v>386</v>
      </c>
      <c r="D137" s="5" t="s">
        <v>387</v>
      </c>
      <c r="E137" s="5" t="s">
        <v>335</v>
      </c>
      <c r="F137" s="9">
        <f>IFERROR(INDEX(Station_Click_Areas!$F:$F,MATCH(B137,Station_Click_Areas!$B:$B,0)),"")</f>
        <v>2884</v>
      </c>
      <c r="G137" s="9">
        <f>IFERROR(INDEX(Station_Click_Areas!$G:$G,MATCH(B137,Station_Click_Areas!$B:$B,0)),"")</f>
        <v>1144</v>
      </c>
      <c r="H137" s="11">
        <f>IF(F137="","",F137/Config!$B$2*100)</f>
        <v>56.328124999999993</v>
      </c>
      <c r="I137" s="11">
        <f>IF(G137="","",G137/Config!$B$3*100)</f>
        <v>39.722222222222221</v>
      </c>
      <c r="J137" s="5">
        <v>10.5</v>
      </c>
      <c r="K137" s="5" t="s">
        <v>932</v>
      </c>
      <c r="L137" s="5" t="s">
        <v>930</v>
      </c>
      <c r="M137" s="5">
        <v>0</v>
      </c>
      <c r="N137" s="5" t="s">
        <v>931</v>
      </c>
      <c r="O137" s="5"/>
    </row>
    <row r="138" spans="1:15" ht="15">
      <c r="A138" s="5" t="str">
        <f t="shared" si="2"/>
        <v>완료</v>
      </c>
      <c r="B138" s="5" t="s">
        <v>388</v>
      </c>
      <c r="C138" s="5" t="s">
        <v>388</v>
      </c>
      <c r="D138" s="5" t="s">
        <v>389</v>
      </c>
      <c r="E138" s="5" t="s">
        <v>335</v>
      </c>
      <c r="F138" s="9">
        <f>IFERROR(INDEX(Station_Click_Areas!$F:$F,MATCH(B138,Station_Click_Areas!$B:$B,0)),"")</f>
        <v>3084</v>
      </c>
      <c r="G138" s="9">
        <f>IFERROR(INDEX(Station_Click_Areas!$G:$G,MATCH(B138,Station_Click_Areas!$B:$B,0)),"")</f>
        <v>1144</v>
      </c>
      <c r="H138" s="11">
        <f>IF(F138="","",F138/Config!$B$2*100)</f>
        <v>60.234374999999993</v>
      </c>
      <c r="I138" s="11">
        <f>IF(G138="","",G138/Config!$B$3*100)</f>
        <v>39.722222222222221</v>
      </c>
      <c r="J138" s="5">
        <v>10.5</v>
      </c>
      <c r="K138" s="5" t="s">
        <v>932</v>
      </c>
      <c r="L138" s="5" t="s">
        <v>930</v>
      </c>
      <c r="M138" s="5">
        <v>0</v>
      </c>
      <c r="N138" s="5" t="s">
        <v>931</v>
      </c>
      <c r="O138" s="5"/>
    </row>
    <row r="139" spans="1:15" ht="15">
      <c r="A139" s="5" t="str">
        <f t="shared" si="2"/>
        <v>완료</v>
      </c>
      <c r="B139" s="5" t="s">
        <v>390</v>
      </c>
      <c r="C139" s="5" t="s">
        <v>390</v>
      </c>
      <c r="D139" s="5" t="s">
        <v>391</v>
      </c>
      <c r="E139" s="5" t="s">
        <v>335</v>
      </c>
      <c r="F139" s="9">
        <f>IFERROR(INDEX(Station_Click_Areas!$F:$F,MATCH(B139,Station_Click_Areas!$B:$B,0)),"")</f>
        <v>3192</v>
      </c>
      <c r="G139" s="9">
        <f>IFERROR(INDEX(Station_Click_Areas!$G:$G,MATCH(B139,Station_Click_Areas!$B:$B,0)),"")</f>
        <v>1144</v>
      </c>
      <c r="H139" s="11">
        <f>IF(F139="","",F139/Config!$B$2*100)</f>
        <v>62.34375</v>
      </c>
      <c r="I139" s="11">
        <f>IF(G139="","",G139/Config!$B$3*100)</f>
        <v>39.722222222222221</v>
      </c>
      <c r="J139" s="5">
        <v>10.5</v>
      </c>
      <c r="K139" s="5" t="s">
        <v>932</v>
      </c>
      <c r="L139" s="5" t="s">
        <v>930</v>
      </c>
      <c r="M139" s="5">
        <v>0</v>
      </c>
      <c r="N139" s="5" t="s">
        <v>931</v>
      </c>
      <c r="O139" s="5"/>
    </row>
    <row r="140" spans="1:15" ht="15">
      <c r="A140" s="5" t="str">
        <f t="shared" si="2"/>
        <v>완료</v>
      </c>
      <c r="B140" s="5" t="s">
        <v>392</v>
      </c>
      <c r="C140" s="5" t="s">
        <v>392</v>
      </c>
      <c r="D140" s="5" t="s">
        <v>393</v>
      </c>
      <c r="E140" s="5" t="s">
        <v>394</v>
      </c>
      <c r="F140" s="9">
        <f>IFERROR(INDEX(Station_Click_Areas!$F:$F,MATCH(B140,Station_Click_Areas!$B:$B,0)),"")</f>
        <v>3192</v>
      </c>
      <c r="G140" s="9">
        <f>IFERROR(INDEX(Station_Click_Areas!$G:$G,MATCH(B140,Station_Click_Areas!$B:$B,0)),"")</f>
        <v>1250</v>
      </c>
      <c r="H140" s="11">
        <f>IF(F140="","",F140/Config!$B$2*100)</f>
        <v>62.34375</v>
      </c>
      <c r="I140" s="11">
        <f>IF(G140="","",G140/Config!$B$3*100)</f>
        <v>43.402777777777779</v>
      </c>
      <c r="J140" s="5">
        <v>12</v>
      </c>
      <c r="K140" s="5" t="s">
        <v>929</v>
      </c>
      <c r="L140" s="5" t="s">
        <v>930</v>
      </c>
      <c r="M140" s="5">
        <v>0</v>
      </c>
      <c r="N140" s="5" t="s">
        <v>931</v>
      </c>
      <c r="O140" s="5"/>
    </row>
    <row r="141" spans="1:15" ht="15">
      <c r="A141" s="5" t="str">
        <f t="shared" si="2"/>
        <v>완료</v>
      </c>
      <c r="B141" s="5" t="s">
        <v>396</v>
      </c>
      <c r="C141" s="5" t="s">
        <v>396</v>
      </c>
      <c r="D141" s="5" t="s">
        <v>397</v>
      </c>
      <c r="E141" s="5" t="s">
        <v>335</v>
      </c>
      <c r="F141" s="9">
        <f>IFERROR(INDEX(Station_Click_Areas!$F:$F,MATCH(B141,Station_Click_Areas!$B:$B,0)),"")</f>
        <v>3192</v>
      </c>
      <c r="G141" s="9">
        <f>IFERROR(INDEX(Station_Click_Areas!$G:$G,MATCH(B141,Station_Click_Areas!$B:$B,0)),"")</f>
        <v>1368</v>
      </c>
      <c r="H141" s="11">
        <f>IF(F141="","",F141/Config!$B$2*100)</f>
        <v>62.34375</v>
      </c>
      <c r="I141" s="11">
        <f>IF(G141="","",G141/Config!$B$3*100)</f>
        <v>47.5</v>
      </c>
      <c r="J141" s="5">
        <v>10.5</v>
      </c>
      <c r="K141" s="5" t="s">
        <v>932</v>
      </c>
      <c r="L141" s="5" t="s">
        <v>930</v>
      </c>
      <c r="M141" s="5">
        <v>0</v>
      </c>
      <c r="N141" s="5" t="s">
        <v>931</v>
      </c>
      <c r="O141" s="5"/>
    </row>
    <row r="142" spans="1:15" ht="15">
      <c r="A142" s="5" t="str">
        <f t="shared" si="2"/>
        <v>완료</v>
      </c>
      <c r="B142" s="5" t="s">
        <v>398</v>
      </c>
      <c r="C142" s="5" t="s">
        <v>398</v>
      </c>
      <c r="D142" s="5" t="s">
        <v>399</v>
      </c>
      <c r="E142" s="5" t="s">
        <v>335</v>
      </c>
      <c r="F142" s="9">
        <f>IFERROR(INDEX(Station_Click_Areas!$F:$F,MATCH(B142,Station_Click_Areas!$B:$B,0)),"")</f>
        <v>3192</v>
      </c>
      <c r="G142" s="9">
        <f>IFERROR(INDEX(Station_Click_Areas!$G:$G,MATCH(B142,Station_Click_Areas!$B:$B,0)),"")</f>
        <v>1484</v>
      </c>
      <c r="H142" s="11">
        <f>IF(F142="","",F142/Config!$B$2*100)</f>
        <v>62.34375</v>
      </c>
      <c r="I142" s="11">
        <f>IF(G142="","",G142/Config!$B$3*100)</f>
        <v>51.527777777777771</v>
      </c>
      <c r="J142" s="5">
        <v>10.5</v>
      </c>
      <c r="K142" s="5" t="s">
        <v>932</v>
      </c>
      <c r="L142" s="5" t="s">
        <v>930</v>
      </c>
      <c r="M142" s="5">
        <v>0</v>
      </c>
      <c r="N142" s="5" t="s">
        <v>931</v>
      </c>
      <c r="O142" s="5"/>
    </row>
    <row r="143" spans="1:15" ht="15">
      <c r="A143" s="5" t="str">
        <f t="shared" si="2"/>
        <v>완료</v>
      </c>
      <c r="B143" s="5" t="s">
        <v>400</v>
      </c>
      <c r="C143" s="5" t="s">
        <v>400</v>
      </c>
      <c r="D143" s="5" t="s">
        <v>401</v>
      </c>
      <c r="E143" s="5" t="s">
        <v>402</v>
      </c>
      <c r="F143" s="9">
        <f>IFERROR(INDEX(Station_Click_Areas!$F:$F,MATCH(B143,Station_Click_Areas!$B:$B,0)),"")</f>
        <v>3340</v>
      </c>
      <c r="G143" s="9">
        <f>IFERROR(INDEX(Station_Click_Areas!$G:$G,MATCH(B143,Station_Click_Areas!$B:$B,0)),"")</f>
        <v>1636</v>
      </c>
      <c r="H143" s="11">
        <f>IF(F143="","",F143/Config!$B$2*100)</f>
        <v>65.234375</v>
      </c>
      <c r="I143" s="11">
        <f>IF(G143="","",G143/Config!$B$3*100)</f>
        <v>56.805555555555557</v>
      </c>
      <c r="J143" s="5">
        <v>12</v>
      </c>
      <c r="K143" s="5" t="s">
        <v>929</v>
      </c>
      <c r="L143" s="5" t="s">
        <v>930</v>
      </c>
      <c r="M143" s="5">
        <v>0</v>
      </c>
      <c r="N143" s="5" t="s">
        <v>931</v>
      </c>
      <c r="O143" s="5"/>
    </row>
    <row r="144" spans="1:15" ht="15">
      <c r="A144" s="5" t="str">
        <f t="shared" si="2"/>
        <v>완료</v>
      </c>
      <c r="B144" s="5" t="s">
        <v>404</v>
      </c>
      <c r="C144" s="5" t="s">
        <v>404</v>
      </c>
      <c r="D144" s="5" t="s">
        <v>405</v>
      </c>
      <c r="E144" s="5" t="s">
        <v>335</v>
      </c>
      <c r="F144" s="9">
        <f>IFERROR(INDEX(Station_Click_Areas!$F:$F,MATCH(B144,Station_Click_Areas!$B:$B,0)),"")</f>
        <v>3468</v>
      </c>
      <c r="G144" s="9">
        <f>IFERROR(INDEX(Station_Click_Areas!$G:$G,MATCH(B144,Station_Click_Areas!$B:$B,0)),"")</f>
        <v>1760</v>
      </c>
      <c r="H144" s="11">
        <f>IF(F144="","",F144/Config!$B$2*100)</f>
        <v>67.734375</v>
      </c>
      <c r="I144" s="11">
        <f>IF(G144="","",G144/Config!$B$3*100)</f>
        <v>61.111111111111114</v>
      </c>
      <c r="J144" s="5">
        <v>10.5</v>
      </c>
      <c r="K144" s="5" t="s">
        <v>932</v>
      </c>
      <c r="L144" s="5" t="s">
        <v>930</v>
      </c>
      <c r="M144" s="5">
        <v>0</v>
      </c>
      <c r="N144" s="5" t="s">
        <v>931</v>
      </c>
      <c r="O144" s="5"/>
    </row>
    <row r="145" spans="1:15" ht="15">
      <c r="A145" s="5" t="str">
        <f t="shared" si="2"/>
        <v>완료</v>
      </c>
      <c r="B145" s="5" t="s">
        <v>407</v>
      </c>
      <c r="C145" s="5" t="s">
        <v>407</v>
      </c>
      <c r="D145" s="5" t="s">
        <v>408</v>
      </c>
      <c r="E145" s="5" t="s">
        <v>335</v>
      </c>
      <c r="F145" s="9">
        <f>IFERROR(INDEX(Station_Click_Areas!$F:$F,MATCH(B145,Station_Click_Areas!$B:$B,0)),"")</f>
        <v>3616</v>
      </c>
      <c r="G145" s="9">
        <f>IFERROR(INDEX(Station_Click_Areas!$G:$G,MATCH(B145,Station_Click_Areas!$B:$B,0)),"")</f>
        <v>1760</v>
      </c>
      <c r="H145" s="11">
        <f>IF(F145="","",F145/Config!$B$2*100)</f>
        <v>70.625</v>
      </c>
      <c r="I145" s="11">
        <f>IF(G145="","",G145/Config!$B$3*100)</f>
        <v>61.111111111111114</v>
      </c>
      <c r="J145" s="5">
        <v>10.5</v>
      </c>
      <c r="K145" s="5" t="s">
        <v>932</v>
      </c>
      <c r="L145" s="5" t="s">
        <v>930</v>
      </c>
      <c r="M145" s="5">
        <v>0</v>
      </c>
      <c r="N145" s="5" t="s">
        <v>931</v>
      </c>
      <c r="O145" s="5"/>
    </row>
    <row r="146" spans="1:15" ht="15">
      <c r="A146" s="5" t="str">
        <f t="shared" si="2"/>
        <v>완료</v>
      </c>
      <c r="B146" s="5" t="s">
        <v>410</v>
      </c>
      <c r="C146" s="5" t="s">
        <v>410</v>
      </c>
      <c r="D146" s="5" t="s">
        <v>411</v>
      </c>
      <c r="E146" s="5" t="s">
        <v>335</v>
      </c>
      <c r="F146" s="9">
        <f>IFERROR(INDEX(Station_Click_Areas!$F:$F,MATCH(B146,Station_Click_Areas!$B:$B,0)),"")</f>
        <v>3764</v>
      </c>
      <c r="G146" s="9">
        <f>IFERROR(INDEX(Station_Click_Areas!$G:$G,MATCH(B146,Station_Click_Areas!$B:$B,0)),"")</f>
        <v>1760</v>
      </c>
      <c r="H146" s="11">
        <f>IF(F146="","",F146/Config!$B$2*100)</f>
        <v>73.515625</v>
      </c>
      <c r="I146" s="11">
        <f>IF(G146="","",G146/Config!$B$3*100)</f>
        <v>61.111111111111114</v>
      </c>
      <c r="J146" s="5">
        <v>10.5</v>
      </c>
      <c r="K146" s="5" t="s">
        <v>932</v>
      </c>
      <c r="L146" s="5" t="s">
        <v>930</v>
      </c>
      <c r="M146" s="5">
        <v>0</v>
      </c>
      <c r="N146" s="5" t="s">
        <v>931</v>
      </c>
      <c r="O146" s="5"/>
    </row>
    <row r="147" spans="1:15" ht="15">
      <c r="A147" s="5" t="str">
        <f t="shared" si="2"/>
        <v>완료</v>
      </c>
      <c r="B147" s="5" t="s">
        <v>412</v>
      </c>
      <c r="C147" s="5" t="s">
        <v>412</v>
      </c>
      <c r="D147" s="5" t="s">
        <v>413</v>
      </c>
      <c r="E147" s="5" t="s">
        <v>335</v>
      </c>
      <c r="F147" s="9">
        <f>IFERROR(INDEX(Station_Click_Areas!$F:$F,MATCH(B147,Station_Click_Areas!$B:$B,0)),"")</f>
        <v>3912</v>
      </c>
      <c r="G147" s="9">
        <f>IFERROR(INDEX(Station_Click_Areas!$G:$G,MATCH(B147,Station_Click_Areas!$B:$B,0)),"")</f>
        <v>1760</v>
      </c>
      <c r="H147" s="11">
        <f>IF(F147="","",F147/Config!$B$2*100)</f>
        <v>76.40625</v>
      </c>
      <c r="I147" s="11">
        <f>IF(G147="","",G147/Config!$B$3*100)</f>
        <v>61.111111111111114</v>
      </c>
      <c r="J147" s="5">
        <v>10.5</v>
      </c>
      <c r="K147" s="5" t="s">
        <v>932</v>
      </c>
      <c r="L147" s="5" t="s">
        <v>930</v>
      </c>
      <c r="M147" s="5">
        <v>0</v>
      </c>
      <c r="N147" s="5" t="s">
        <v>931</v>
      </c>
      <c r="O147" s="5"/>
    </row>
    <row r="148" spans="1:15" ht="15">
      <c r="A148" s="5" t="str">
        <f t="shared" si="2"/>
        <v>완료</v>
      </c>
      <c r="B148" s="5" t="s">
        <v>414</v>
      </c>
      <c r="C148" s="5" t="s">
        <v>414</v>
      </c>
      <c r="D148" s="5" t="s">
        <v>415</v>
      </c>
      <c r="E148" s="5" t="s">
        <v>335</v>
      </c>
      <c r="F148" s="9">
        <f>IFERROR(INDEX(Station_Click_Areas!$F:$F,MATCH(B148,Station_Click_Areas!$B:$B,0)),"")</f>
        <v>4060</v>
      </c>
      <c r="G148" s="9">
        <f>IFERROR(INDEX(Station_Click_Areas!$G:$G,MATCH(B148,Station_Click_Areas!$B:$B,0)),"")</f>
        <v>1760</v>
      </c>
      <c r="H148" s="11">
        <f>IF(F148="","",F148/Config!$B$2*100)</f>
        <v>79.296875</v>
      </c>
      <c r="I148" s="11">
        <f>IF(G148="","",G148/Config!$B$3*100)</f>
        <v>61.111111111111114</v>
      </c>
      <c r="J148" s="5">
        <v>10.5</v>
      </c>
      <c r="K148" s="5" t="s">
        <v>932</v>
      </c>
      <c r="L148" s="5" t="s">
        <v>930</v>
      </c>
      <c r="M148" s="5">
        <v>0</v>
      </c>
      <c r="N148" s="5" t="s">
        <v>931</v>
      </c>
      <c r="O148" s="5"/>
    </row>
    <row r="149" spans="1:15" ht="15">
      <c r="A149" s="5" t="str">
        <f t="shared" si="2"/>
        <v>완료</v>
      </c>
      <c r="B149" s="5" t="s">
        <v>416</v>
      </c>
      <c r="C149" s="5" t="s">
        <v>416</v>
      </c>
      <c r="D149" s="5" t="s">
        <v>417</v>
      </c>
      <c r="E149" s="5" t="s">
        <v>335</v>
      </c>
      <c r="F149" s="9">
        <f>IFERROR(INDEX(Station_Click_Areas!$F:$F,MATCH(B149,Station_Click_Areas!$B:$B,0)),"")</f>
        <v>4208</v>
      </c>
      <c r="G149" s="9">
        <f>IFERROR(INDEX(Station_Click_Areas!$G:$G,MATCH(B149,Station_Click_Areas!$B:$B,0)),"")</f>
        <v>1760</v>
      </c>
      <c r="H149" s="11">
        <f>IF(F149="","",F149/Config!$B$2*100)</f>
        <v>82.1875</v>
      </c>
      <c r="I149" s="11">
        <f>IF(G149="","",G149/Config!$B$3*100)</f>
        <v>61.111111111111114</v>
      </c>
      <c r="J149" s="5">
        <v>10.5</v>
      </c>
      <c r="K149" s="5" t="s">
        <v>932</v>
      </c>
      <c r="L149" s="5" t="s">
        <v>930</v>
      </c>
      <c r="M149" s="5">
        <v>0</v>
      </c>
      <c r="N149" s="5" t="s">
        <v>931</v>
      </c>
      <c r="O149" s="5"/>
    </row>
    <row r="150" spans="1:15" ht="15">
      <c r="A150" s="5" t="str">
        <f t="shared" si="2"/>
        <v>완료</v>
      </c>
      <c r="B150" s="5" t="s">
        <v>418</v>
      </c>
      <c r="C150" s="5" t="s">
        <v>418</v>
      </c>
      <c r="D150" s="5" t="s">
        <v>419</v>
      </c>
      <c r="E150" s="5" t="s">
        <v>335</v>
      </c>
      <c r="F150" s="9">
        <f>IFERROR(INDEX(Station_Click_Areas!$F:$F,MATCH(B150,Station_Click_Areas!$B:$B,0)),"")</f>
        <v>4356</v>
      </c>
      <c r="G150" s="9">
        <f>IFERROR(INDEX(Station_Click_Areas!$G:$G,MATCH(B150,Station_Click_Areas!$B:$B,0)),"")</f>
        <v>1760</v>
      </c>
      <c r="H150" s="11">
        <f>IF(F150="","",F150/Config!$B$2*100)</f>
        <v>85.078125</v>
      </c>
      <c r="I150" s="11">
        <f>IF(G150="","",G150/Config!$B$3*100)</f>
        <v>61.111111111111114</v>
      </c>
      <c r="J150" s="5">
        <v>10.5</v>
      </c>
      <c r="K150" s="5" t="s">
        <v>932</v>
      </c>
      <c r="L150" s="5" t="s">
        <v>930</v>
      </c>
      <c r="M150" s="5">
        <v>0</v>
      </c>
      <c r="N150" s="5" t="s">
        <v>931</v>
      </c>
      <c r="O150" s="5"/>
    </row>
    <row r="151" spans="1:15" ht="15">
      <c r="A151" s="5" t="str">
        <f t="shared" si="2"/>
        <v>완료</v>
      </c>
      <c r="B151" s="5" t="s">
        <v>420</v>
      </c>
      <c r="C151" s="5" t="s">
        <v>420</v>
      </c>
      <c r="D151" s="5" t="s">
        <v>421</v>
      </c>
      <c r="E151" s="5" t="s">
        <v>335</v>
      </c>
      <c r="F151" s="9">
        <f>IFERROR(INDEX(Station_Click_Areas!$F:$F,MATCH(B151,Station_Click_Areas!$B:$B,0)),"")</f>
        <v>4356</v>
      </c>
      <c r="G151" s="9">
        <f>IFERROR(INDEX(Station_Click_Areas!$G:$G,MATCH(B151,Station_Click_Areas!$B:$B,0)),"")</f>
        <v>1868</v>
      </c>
      <c r="H151" s="11">
        <f>IF(F151="","",F151/Config!$B$2*100)</f>
        <v>85.078125</v>
      </c>
      <c r="I151" s="11">
        <f>IF(G151="","",G151/Config!$B$3*100)</f>
        <v>64.861111111111114</v>
      </c>
      <c r="J151" s="5">
        <v>10.5</v>
      </c>
      <c r="K151" s="5" t="s">
        <v>932</v>
      </c>
      <c r="L151" s="5" t="s">
        <v>930</v>
      </c>
      <c r="M151" s="5">
        <v>0</v>
      </c>
      <c r="N151" s="5" t="s">
        <v>931</v>
      </c>
      <c r="O151" s="5"/>
    </row>
    <row r="152" spans="1:15" ht="15">
      <c r="A152" s="5" t="str">
        <f t="shared" si="2"/>
        <v>완료</v>
      </c>
      <c r="B152" s="5" t="s">
        <v>422</v>
      </c>
      <c r="C152" s="5" t="s">
        <v>422</v>
      </c>
      <c r="D152" s="5" t="s">
        <v>423</v>
      </c>
      <c r="E152" s="5" t="s">
        <v>335</v>
      </c>
      <c r="F152" s="9">
        <f>IFERROR(INDEX(Station_Click_Areas!$F:$F,MATCH(B152,Station_Click_Areas!$B:$B,0)),"")</f>
        <v>4356</v>
      </c>
      <c r="G152" s="9">
        <f>IFERROR(INDEX(Station_Click_Areas!$G:$G,MATCH(B152,Station_Click_Areas!$B:$B,0)),"")</f>
        <v>1976</v>
      </c>
      <c r="H152" s="11">
        <f>IF(F152="","",F152/Config!$B$2*100)</f>
        <v>85.078125</v>
      </c>
      <c r="I152" s="11">
        <f>IF(G152="","",G152/Config!$B$3*100)</f>
        <v>68.611111111111114</v>
      </c>
      <c r="J152" s="5">
        <v>10.5</v>
      </c>
      <c r="K152" s="5" t="s">
        <v>932</v>
      </c>
      <c r="L152" s="5" t="s">
        <v>930</v>
      </c>
      <c r="M152" s="5">
        <v>0</v>
      </c>
      <c r="N152" s="5" t="s">
        <v>931</v>
      </c>
      <c r="O152" s="5"/>
    </row>
    <row r="153" spans="1:15" ht="15">
      <c r="A153" s="5" t="str">
        <f t="shared" si="2"/>
        <v>완료</v>
      </c>
      <c r="B153" s="5" t="s">
        <v>424</v>
      </c>
      <c r="C153" s="5" t="s">
        <v>424</v>
      </c>
      <c r="D153" s="5" t="s">
        <v>425</v>
      </c>
      <c r="E153" s="5" t="s">
        <v>335</v>
      </c>
      <c r="F153" s="9">
        <f>IFERROR(INDEX(Station_Click_Areas!$F:$F,MATCH(B153,Station_Click_Areas!$B:$B,0)),"")</f>
        <v>4356</v>
      </c>
      <c r="G153" s="9">
        <f>IFERROR(INDEX(Station_Click_Areas!$G:$G,MATCH(B153,Station_Click_Areas!$B:$B,0)),"")</f>
        <v>2084</v>
      </c>
      <c r="H153" s="11">
        <f>IF(F153="","",F153/Config!$B$2*100)</f>
        <v>85.078125</v>
      </c>
      <c r="I153" s="11">
        <f>IF(G153="","",G153/Config!$B$3*100)</f>
        <v>72.361111111111114</v>
      </c>
      <c r="J153" s="5">
        <v>10.5</v>
      </c>
      <c r="K153" s="5" t="s">
        <v>932</v>
      </c>
      <c r="L153" s="5" t="s">
        <v>930</v>
      </c>
      <c r="M153" s="5">
        <v>0</v>
      </c>
      <c r="N153" s="5" t="s">
        <v>931</v>
      </c>
      <c r="O153" s="5"/>
    </row>
    <row r="154" spans="1:15" ht="15">
      <c r="A154" s="5" t="str">
        <f t="shared" si="2"/>
        <v>완료</v>
      </c>
      <c r="B154" s="5" t="s">
        <v>427</v>
      </c>
      <c r="C154" s="5" t="s">
        <v>427</v>
      </c>
      <c r="D154" s="5" t="s">
        <v>428</v>
      </c>
      <c r="E154" s="5" t="s">
        <v>335</v>
      </c>
      <c r="F154" s="9">
        <f>IFERROR(INDEX(Station_Click_Areas!$F:$F,MATCH(B154,Station_Click_Areas!$B:$B,0)),"")</f>
        <v>4356</v>
      </c>
      <c r="G154" s="9">
        <f>IFERROR(INDEX(Station_Click_Areas!$G:$G,MATCH(B154,Station_Click_Areas!$B:$B,0)),"")</f>
        <v>2192</v>
      </c>
      <c r="H154" s="11">
        <f>IF(F154="","",F154/Config!$B$2*100)</f>
        <v>85.078125</v>
      </c>
      <c r="I154" s="11">
        <f>IF(G154="","",G154/Config!$B$3*100)</f>
        <v>76.111111111111114</v>
      </c>
      <c r="J154" s="5">
        <v>10.5</v>
      </c>
      <c r="K154" s="5" t="s">
        <v>932</v>
      </c>
      <c r="L154" s="5" t="s">
        <v>930</v>
      </c>
      <c r="M154" s="5">
        <v>0</v>
      </c>
      <c r="N154" s="5" t="s">
        <v>931</v>
      </c>
      <c r="O154" s="5"/>
    </row>
    <row r="155" spans="1:15" ht="15">
      <c r="A155" s="5" t="str">
        <f t="shared" si="2"/>
        <v>완료</v>
      </c>
      <c r="B155" s="5" t="s">
        <v>429</v>
      </c>
      <c r="C155" s="5" t="s">
        <v>429</v>
      </c>
      <c r="D155" s="5" t="s">
        <v>430</v>
      </c>
      <c r="E155" s="5" t="s">
        <v>335</v>
      </c>
      <c r="F155" s="9">
        <f>IFERROR(INDEX(Station_Click_Areas!$F:$F,MATCH(B155,Station_Click_Areas!$B:$B,0)),"")</f>
        <v>3528</v>
      </c>
      <c r="G155" s="9">
        <f>IFERROR(INDEX(Station_Click_Areas!$G:$G,MATCH(B155,Station_Click_Areas!$B:$B,0)),"")</f>
        <v>1824</v>
      </c>
      <c r="H155" s="11">
        <f>IF(F155="","",F155/Config!$B$2*100)</f>
        <v>68.90625</v>
      </c>
      <c r="I155" s="11">
        <f>IF(G155="","",G155/Config!$B$3*100)</f>
        <v>63.333333333333329</v>
      </c>
      <c r="J155" s="5">
        <v>10.5</v>
      </c>
      <c r="K155" s="5" t="s">
        <v>932</v>
      </c>
      <c r="L155" s="5" t="s">
        <v>930</v>
      </c>
      <c r="M155" s="5">
        <v>0</v>
      </c>
      <c r="N155" s="5" t="s">
        <v>931</v>
      </c>
      <c r="O155" s="5"/>
    </row>
    <row r="156" spans="1:15" ht="15">
      <c r="A156" s="5" t="str">
        <f t="shared" si="2"/>
        <v>완료</v>
      </c>
      <c r="B156" s="5" t="s">
        <v>432</v>
      </c>
      <c r="C156" s="5" t="s">
        <v>432</v>
      </c>
      <c r="D156" s="5" t="s">
        <v>433</v>
      </c>
      <c r="E156" s="5" t="s">
        <v>335</v>
      </c>
      <c r="F156" s="9">
        <f>IFERROR(INDEX(Station_Click_Areas!$F:$F,MATCH(B156,Station_Click_Areas!$B:$B,0)),"")</f>
        <v>3584</v>
      </c>
      <c r="G156" s="9">
        <f>IFERROR(INDEX(Station_Click_Areas!$G:$G,MATCH(B156,Station_Click_Areas!$B:$B,0)),"")</f>
        <v>1882</v>
      </c>
      <c r="H156" s="11">
        <f>IF(F156="","",F156/Config!$B$2*100)</f>
        <v>70</v>
      </c>
      <c r="I156" s="11">
        <f>IF(G156="","",G156/Config!$B$3*100)</f>
        <v>65.347222222222229</v>
      </c>
      <c r="J156" s="5">
        <v>10.5</v>
      </c>
      <c r="K156" s="5" t="s">
        <v>932</v>
      </c>
      <c r="L156" s="5" t="s">
        <v>930</v>
      </c>
      <c r="M156" s="5">
        <v>0</v>
      </c>
      <c r="N156" s="5" t="s">
        <v>931</v>
      </c>
      <c r="O156" s="5"/>
    </row>
    <row r="157" spans="1:15" ht="15">
      <c r="A157" s="5" t="str">
        <f t="shared" si="2"/>
        <v>완료</v>
      </c>
      <c r="B157" s="5" t="s">
        <v>434</v>
      </c>
      <c r="C157" s="5" t="s">
        <v>434</v>
      </c>
      <c r="D157" s="5" t="s">
        <v>435</v>
      </c>
      <c r="E157" s="5" t="s">
        <v>335</v>
      </c>
      <c r="F157" s="9">
        <f>IFERROR(INDEX(Station_Click_Areas!$F:$F,MATCH(B157,Station_Click_Areas!$B:$B,0)),"")</f>
        <v>3640</v>
      </c>
      <c r="G157" s="9">
        <f>IFERROR(INDEX(Station_Click_Areas!$G:$G,MATCH(B157,Station_Click_Areas!$B:$B,0)),"")</f>
        <v>1936</v>
      </c>
      <c r="H157" s="11">
        <f>IF(F157="","",F157/Config!$B$2*100)</f>
        <v>71.09375</v>
      </c>
      <c r="I157" s="11">
        <f>IF(G157="","",G157/Config!$B$3*100)</f>
        <v>67.222222222222229</v>
      </c>
      <c r="J157" s="5">
        <v>10.5</v>
      </c>
      <c r="K157" s="5" t="s">
        <v>932</v>
      </c>
      <c r="L157" s="5" t="s">
        <v>930</v>
      </c>
      <c r="M157" s="5">
        <v>0</v>
      </c>
      <c r="N157" s="5" t="s">
        <v>931</v>
      </c>
      <c r="O157" s="5"/>
    </row>
    <row r="158" spans="1:15" ht="15">
      <c r="A158" s="5" t="str">
        <f t="shared" si="2"/>
        <v>완료</v>
      </c>
      <c r="B158" s="5" t="s">
        <v>436</v>
      </c>
      <c r="C158" s="5" t="s">
        <v>436</v>
      </c>
      <c r="D158" s="5" t="s">
        <v>437</v>
      </c>
      <c r="E158" s="5" t="s">
        <v>335</v>
      </c>
      <c r="F158" s="9">
        <f>IFERROR(INDEX(Station_Click_Areas!$F:$F,MATCH(B158,Station_Click_Areas!$B:$B,0)),"")</f>
        <v>3760</v>
      </c>
      <c r="G158" s="9">
        <f>IFERROR(INDEX(Station_Click_Areas!$G:$G,MATCH(B158,Station_Click_Areas!$B:$B,0)),"")</f>
        <v>2056</v>
      </c>
      <c r="H158" s="11">
        <f>IF(F158="","",F158/Config!$B$2*100)</f>
        <v>73.4375</v>
      </c>
      <c r="I158" s="11">
        <f>IF(G158="","",G158/Config!$B$3*100)</f>
        <v>71.388888888888886</v>
      </c>
      <c r="J158" s="5">
        <v>10.5</v>
      </c>
      <c r="K158" s="5" t="s">
        <v>932</v>
      </c>
      <c r="L158" s="5" t="s">
        <v>930</v>
      </c>
      <c r="M158" s="5">
        <v>0</v>
      </c>
      <c r="N158" s="5" t="s">
        <v>931</v>
      </c>
      <c r="O158" s="5"/>
    </row>
    <row r="159" spans="1:15" ht="15">
      <c r="A159" s="5" t="str">
        <f t="shared" si="2"/>
        <v>완료</v>
      </c>
      <c r="B159" s="5" t="s">
        <v>438</v>
      </c>
      <c r="C159" s="5" t="s">
        <v>438</v>
      </c>
      <c r="D159" s="5" t="s">
        <v>439</v>
      </c>
      <c r="E159" s="5" t="s">
        <v>335</v>
      </c>
      <c r="F159" s="9">
        <f>IFERROR(INDEX(Station_Click_Areas!$F:$F,MATCH(B159,Station_Click_Areas!$B:$B,0)),"")</f>
        <v>3824</v>
      </c>
      <c r="G159" s="9">
        <f>IFERROR(INDEX(Station_Click_Areas!$G:$G,MATCH(B159,Station_Click_Areas!$B:$B,0)),"")</f>
        <v>2120</v>
      </c>
      <c r="H159" s="11">
        <f>IF(F159="","",F159/Config!$B$2*100)</f>
        <v>74.6875</v>
      </c>
      <c r="I159" s="11">
        <f>IF(G159="","",G159/Config!$B$3*100)</f>
        <v>73.611111111111114</v>
      </c>
      <c r="J159" s="5">
        <v>10.5</v>
      </c>
      <c r="K159" s="5" t="s">
        <v>932</v>
      </c>
      <c r="L159" s="5" t="s">
        <v>930</v>
      </c>
      <c r="M159" s="5">
        <v>0</v>
      </c>
      <c r="N159" s="5" t="s">
        <v>931</v>
      </c>
      <c r="O159" s="5"/>
    </row>
    <row r="160" spans="1:15" ht="15">
      <c r="A160" s="5" t="str">
        <f t="shared" si="2"/>
        <v>완료</v>
      </c>
      <c r="B160" s="5" t="s">
        <v>440</v>
      </c>
      <c r="C160" s="5" t="s">
        <v>440</v>
      </c>
      <c r="D160" s="5" t="s">
        <v>441</v>
      </c>
      <c r="E160" s="5" t="s">
        <v>335</v>
      </c>
      <c r="F160" s="9">
        <f>IFERROR(INDEX(Station_Click_Areas!$F:$F,MATCH(B160,Station_Click_Areas!$B:$B,0)),"")</f>
        <v>3896</v>
      </c>
      <c r="G160" s="9">
        <f>IFERROR(INDEX(Station_Click_Areas!$G:$G,MATCH(B160,Station_Click_Areas!$B:$B,0)),"")</f>
        <v>2196</v>
      </c>
      <c r="H160" s="11">
        <f>IF(F160="","",F160/Config!$B$2*100)</f>
        <v>76.09375</v>
      </c>
      <c r="I160" s="11">
        <f>IF(G160="","",G160/Config!$B$3*100)</f>
        <v>76.25</v>
      </c>
      <c r="J160" s="5">
        <v>10.5</v>
      </c>
      <c r="K160" s="5" t="s">
        <v>932</v>
      </c>
      <c r="L160" s="5" t="s">
        <v>930</v>
      </c>
      <c r="M160" s="5">
        <v>0</v>
      </c>
      <c r="N160" s="5" t="s">
        <v>931</v>
      </c>
      <c r="O160" s="5"/>
    </row>
    <row r="161" spans="1:15" ht="15">
      <c r="A161" s="5" t="str">
        <f t="shared" si="2"/>
        <v>완료</v>
      </c>
      <c r="B161" s="5" t="s">
        <v>442</v>
      </c>
      <c r="C161" s="5" t="s">
        <v>442</v>
      </c>
      <c r="D161" s="5" t="s">
        <v>443</v>
      </c>
      <c r="E161" s="5" t="s">
        <v>444</v>
      </c>
      <c r="F161" s="9">
        <f>IFERROR(INDEX(Station_Click_Areas!$F:$F,MATCH(B161,Station_Click_Areas!$B:$B,0)),"")</f>
        <v>1296</v>
      </c>
      <c r="G161" s="9">
        <f>IFERROR(INDEX(Station_Click_Areas!$G:$G,MATCH(B161,Station_Click_Areas!$B:$B,0)),"")</f>
        <v>676</v>
      </c>
      <c r="H161" s="11">
        <f>IF(F161="","",F161/Config!$B$2*100)</f>
        <v>25.3125</v>
      </c>
      <c r="I161" s="11">
        <f>IF(G161="","",G161/Config!$B$3*100)</f>
        <v>23.472222222222221</v>
      </c>
      <c r="J161" s="5">
        <v>10.5</v>
      </c>
      <c r="K161" s="5" t="s">
        <v>932</v>
      </c>
      <c r="L161" s="5" t="s">
        <v>930</v>
      </c>
      <c r="M161" s="5">
        <v>0</v>
      </c>
      <c r="N161" s="5" t="s">
        <v>931</v>
      </c>
      <c r="O161" s="5"/>
    </row>
    <row r="162" spans="1:15" ht="15">
      <c r="A162" s="5" t="str">
        <f t="shared" si="2"/>
        <v>완료</v>
      </c>
      <c r="B162" s="5" t="s">
        <v>446</v>
      </c>
      <c r="C162" s="5" t="s">
        <v>446</v>
      </c>
      <c r="D162" s="5" t="s">
        <v>447</v>
      </c>
      <c r="E162" s="5" t="s">
        <v>444</v>
      </c>
      <c r="F162" s="9">
        <f>IFERROR(INDEX(Station_Click_Areas!$F:$F,MATCH(B162,Station_Click_Areas!$B:$B,0)),"")</f>
        <v>1384</v>
      </c>
      <c r="G162" s="9">
        <f>IFERROR(INDEX(Station_Click_Areas!$G:$G,MATCH(B162,Station_Click_Areas!$B:$B,0)),"")</f>
        <v>580</v>
      </c>
      <c r="H162" s="11">
        <f>IF(F162="","",F162/Config!$B$2*100)</f>
        <v>27.03125</v>
      </c>
      <c r="I162" s="11">
        <f>IF(G162="","",G162/Config!$B$3*100)</f>
        <v>20.138888888888889</v>
      </c>
      <c r="J162" s="5">
        <v>10.5</v>
      </c>
      <c r="K162" s="5" t="s">
        <v>932</v>
      </c>
      <c r="L162" s="5" t="s">
        <v>930</v>
      </c>
      <c r="M162" s="5">
        <v>0</v>
      </c>
      <c r="N162" s="5" t="s">
        <v>931</v>
      </c>
      <c r="O162" s="5"/>
    </row>
    <row r="163" spans="1:15" ht="15">
      <c r="A163" s="5" t="str">
        <f t="shared" si="2"/>
        <v>완료</v>
      </c>
      <c r="B163" s="5" t="s">
        <v>448</v>
      </c>
      <c r="C163" s="5" t="s">
        <v>448</v>
      </c>
      <c r="D163" s="5" t="s">
        <v>449</v>
      </c>
      <c r="E163" s="5" t="s">
        <v>444</v>
      </c>
      <c r="F163" s="9">
        <f>IFERROR(INDEX(Station_Click_Areas!$F:$F,MATCH(B163,Station_Click_Areas!$B:$B,0)),"")</f>
        <v>1378</v>
      </c>
      <c r="G163" s="9">
        <f>IFERROR(INDEX(Station_Click_Areas!$G:$G,MATCH(B163,Station_Click_Areas!$B:$B,0)),"")</f>
        <v>400</v>
      </c>
      <c r="H163" s="11">
        <f>IF(F163="","",F163/Config!$B$2*100)</f>
        <v>26.914062500000004</v>
      </c>
      <c r="I163" s="11">
        <f>IF(G163="","",G163/Config!$B$3*100)</f>
        <v>13.888888888888889</v>
      </c>
      <c r="J163" s="5">
        <v>10.5</v>
      </c>
      <c r="K163" s="5" t="s">
        <v>932</v>
      </c>
      <c r="L163" s="5" t="s">
        <v>930</v>
      </c>
      <c r="M163" s="5">
        <v>0</v>
      </c>
      <c r="N163" s="5" t="s">
        <v>931</v>
      </c>
      <c r="O163" s="5"/>
    </row>
    <row r="164" spans="1:15" ht="15">
      <c r="A164" s="5" t="str">
        <f t="shared" si="2"/>
        <v>완료</v>
      </c>
      <c r="B164" s="5" t="s">
        <v>450</v>
      </c>
      <c r="C164" s="5" t="s">
        <v>450</v>
      </c>
      <c r="D164" s="5" t="s">
        <v>451</v>
      </c>
      <c r="E164" s="5" t="s">
        <v>444</v>
      </c>
      <c r="F164" s="9">
        <f>IFERROR(INDEX(Station_Click_Areas!$F:$F,MATCH(B164,Station_Click_Areas!$B:$B,0)),"")</f>
        <v>1296</v>
      </c>
      <c r="G164" s="9">
        <f>IFERROR(INDEX(Station_Click_Areas!$G:$G,MATCH(B164,Station_Click_Areas!$B:$B,0)),"")</f>
        <v>584</v>
      </c>
      <c r="H164" s="11">
        <f>IF(F164="","",F164/Config!$B$2*100)</f>
        <v>25.3125</v>
      </c>
      <c r="I164" s="11">
        <f>IF(G164="","",G164/Config!$B$3*100)</f>
        <v>20.277777777777779</v>
      </c>
      <c r="J164" s="5">
        <v>10.5</v>
      </c>
      <c r="K164" s="5" t="s">
        <v>932</v>
      </c>
      <c r="L164" s="5" t="s">
        <v>930</v>
      </c>
      <c r="M164" s="5">
        <v>0</v>
      </c>
      <c r="N164" s="5" t="s">
        <v>931</v>
      </c>
      <c r="O164" s="5"/>
    </row>
    <row r="165" spans="1:15" ht="15">
      <c r="A165" s="5" t="str">
        <f t="shared" si="2"/>
        <v>완료</v>
      </c>
      <c r="B165" s="5" t="s">
        <v>452</v>
      </c>
      <c r="C165" s="5" t="s">
        <v>452</v>
      </c>
      <c r="D165" s="5" t="s">
        <v>453</v>
      </c>
      <c r="E165" s="5" t="s">
        <v>444</v>
      </c>
      <c r="F165" s="9">
        <f>IFERROR(INDEX(Station_Click_Areas!$F:$F,MATCH(B165,Station_Click_Areas!$B:$B,0)),"")</f>
        <v>1296</v>
      </c>
      <c r="G165" s="9">
        <f>IFERROR(INDEX(Station_Click_Areas!$G:$G,MATCH(B165,Station_Click_Areas!$B:$B,0)),"")</f>
        <v>780</v>
      </c>
      <c r="H165" s="11">
        <f>IF(F165="","",F165/Config!$B$2*100)</f>
        <v>25.3125</v>
      </c>
      <c r="I165" s="11">
        <f>IF(G165="","",G165/Config!$B$3*100)</f>
        <v>27.083333333333332</v>
      </c>
      <c r="J165" s="5">
        <v>10.5</v>
      </c>
      <c r="K165" s="5" t="s">
        <v>932</v>
      </c>
      <c r="L165" s="5" t="s">
        <v>930</v>
      </c>
      <c r="M165" s="5">
        <v>0</v>
      </c>
      <c r="N165" s="5" t="s">
        <v>931</v>
      </c>
      <c r="O165" s="5"/>
    </row>
    <row r="166" spans="1:15" ht="15">
      <c r="A166" s="5" t="str">
        <f t="shared" si="2"/>
        <v>완료</v>
      </c>
      <c r="B166" s="5" t="s">
        <v>454</v>
      </c>
      <c r="C166" s="5" t="s">
        <v>454</v>
      </c>
      <c r="D166" s="5" t="s">
        <v>455</v>
      </c>
      <c r="E166" s="5" t="s">
        <v>444</v>
      </c>
      <c r="F166" s="9">
        <f>IFERROR(INDEX(Station_Click_Areas!$F:$F,MATCH(B166,Station_Click_Areas!$B:$B,0)),"")</f>
        <v>1296</v>
      </c>
      <c r="G166" s="9">
        <f>IFERROR(INDEX(Station_Click_Areas!$G:$G,MATCH(B166,Station_Click_Areas!$B:$B,0)),"")</f>
        <v>884</v>
      </c>
      <c r="H166" s="11">
        <f>IF(F166="","",F166/Config!$B$2*100)</f>
        <v>25.3125</v>
      </c>
      <c r="I166" s="11">
        <f>IF(G166="","",G166/Config!$B$3*100)</f>
        <v>30.694444444444446</v>
      </c>
      <c r="J166" s="5">
        <v>10.5</v>
      </c>
      <c r="K166" s="5" t="s">
        <v>932</v>
      </c>
      <c r="L166" s="5" t="s">
        <v>930</v>
      </c>
      <c r="M166" s="5">
        <v>0</v>
      </c>
      <c r="N166" s="5" t="s">
        <v>931</v>
      </c>
      <c r="O166" s="5"/>
    </row>
    <row r="167" spans="1:15" ht="15">
      <c r="A167" s="5" t="str">
        <f t="shared" si="2"/>
        <v>완료</v>
      </c>
      <c r="B167" s="5" t="s">
        <v>456</v>
      </c>
      <c r="C167" s="5" t="s">
        <v>456</v>
      </c>
      <c r="D167" s="5" t="s">
        <v>457</v>
      </c>
      <c r="E167" s="5" t="s">
        <v>444</v>
      </c>
      <c r="F167" s="9">
        <f>IFERROR(INDEX(Station_Click_Areas!$F:$F,MATCH(B167,Station_Click_Areas!$B:$B,0)),"")</f>
        <v>1296</v>
      </c>
      <c r="G167" s="9">
        <f>IFERROR(INDEX(Station_Click_Areas!$G:$G,MATCH(B167,Station_Click_Areas!$B:$B,0)),"")</f>
        <v>1032</v>
      </c>
      <c r="H167" s="11">
        <f>IF(F167="","",F167/Config!$B$2*100)</f>
        <v>25.3125</v>
      </c>
      <c r="I167" s="11">
        <f>IF(G167="","",G167/Config!$B$3*100)</f>
        <v>35.833333333333336</v>
      </c>
      <c r="J167" s="5">
        <v>10.5</v>
      </c>
      <c r="K167" s="5" t="s">
        <v>932</v>
      </c>
      <c r="L167" s="5" t="s">
        <v>930</v>
      </c>
      <c r="M167" s="5">
        <v>0</v>
      </c>
      <c r="N167" s="5" t="s">
        <v>931</v>
      </c>
      <c r="O167" s="5"/>
    </row>
    <row r="168" spans="1:15" ht="15">
      <c r="A168" s="5" t="str">
        <f t="shared" si="2"/>
        <v>완료</v>
      </c>
      <c r="B168" s="5" t="s">
        <v>458</v>
      </c>
      <c r="C168" s="5" t="s">
        <v>458</v>
      </c>
      <c r="D168" s="5" t="s">
        <v>459</v>
      </c>
      <c r="E168" s="5" t="s">
        <v>444</v>
      </c>
      <c r="F168" s="9">
        <f>IFERROR(INDEX(Station_Click_Areas!$F:$F,MATCH(B168,Station_Click_Areas!$B:$B,0)),"")</f>
        <v>1296</v>
      </c>
      <c r="G168" s="9">
        <f>IFERROR(INDEX(Station_Click_Areas!$G:$G,MATCH(B168,Station_Click_Areas!$B:$B,0)),"")</f>
        <v>1120</v>
      </c>
      <c r="H168" s="11">
        <f>IF(F168="","",F168/Config!$B$2*100)</f>
        <v>25.3125</v>
      </c>
      <c r="I168" s="11">
        <f>IF(G168="","",G168/Config!$B$3*100)</f>
        <v>38.888888888888893</v>
      </c>
      <c r="J168" s="5">
        <v>10.5</v>
      </c>
      <c r="K168" s="5" t="s">
        <v>932</v>
      </c>
      <c r="L168" s="5" t="s">
        <v>930</v>
      </c>
      <c r="M168" s="5">
        <v>0</v>
      </c>
      <c r="N168" s="5" t="s">
        <v>931</v>
      </c>
      <c r="O168" s="5"/>
    </row>
    <row r="169" spans="1:15" ht="15">
      <c r="A169" s="5" t="str">
        <f t="shared" si="2"/>
        <v>완료</v>
      </c>
      <c r="B169" s="5" t="s">
        <v>461</v>
      </c>
      <c r="C169" s="5" t="s">
        <v>461</v>
      </c>
      <c r="D169" s="5" t="s">
        <v>462</v>
      </c>
      <c r="E169" s="5" t="s">
        <v>444</v>
      </c>
      <c r="F169" s="9">
        <f>IFERROR(INDEX(Station_Click_Areas!$F:$F,MATCH(B169,Station_Click_Areas!$B:$B,0)),"")</f>
        <v>1296</v>
      </c>
      <c r="G169" s="9">
        <f>IFERROR(INDEX(Station_Click_Areas!$G:$G,MATCH(B169,Station_Click_Areas!$B:$B,0)),"")</f>
        <v>1200</v>
      </c>
      <c r="H169" s="11">
        <f>IF(F169="","",F169/Config!$B$2*100)</f>
        <v>25.3125</v>
      </c>
      <c r="I169" s="11">
        <f>IF(G169="","",G169/Config!$B$3*100)</f>
        <v>41.666666666666671</v>
      </c>
      <c r="J169" s="5">
        <v>10.5</v>
      </c>
      <c r="K169" s="5" t="s">
        <v>932</v>
      </c>
      <c r="L169" s="5" t="s">
        <v>930</v>
      </c>
      <c r="M169" s="5">
        <v>0</v>
      </c>
      <c r="N169" s="5" t="s">
        <v>931</v>
      </c>
      <c r="O169" s="5"/>
    </row>
    <row r="170" spans="1:15" ht="15">
      <c r="A170" s="5" t="str">
        <f t="shared" si="2"/>
        <v>완료</v>
      </c>
      <c r="B170" s="5" t="s">
        <v>463</v>
      </c>
      <c r="C170" s="5" t="s">
        <v>463</v>
      </c>
      <c r="D170" s="5" t="s">
        <v>464</v>
      </c>
      <c r="E170" s="5" t="s">
        <v>444</v>
      </c>
      <c r="F170" s="9">
        <f>IFERROR(INDEX(Station_Click_Areas!$F:$F,MATCH(B170,Station_Click_Areas!$B:$B,0)),"")</f>
        <v>1356</v>
      </c>
      <c r="G170" s="9">
        <f>IFERROR(INDEX(Station_Click_Areas!$G:$G,MATCH(B170,Station_Click_Areas!$B:$B,0)),"")</f>
        <v>1264</v>
      </c>
      <c r="H170" s="11">
        <f>IF(F170="","",F170/Config!$B$2*100)</f>
        <v>26.484375</v>
      </c>
      <c r="I170" s="11">
        <f>IF(G170="","",G170/Config!$B$3*100)</f>
        <v>43.888888888888886</v>
      </c>
      <c r="J170" s="5">
        <v>10.5</v>
      </c>
      <c r="K170" s="5" t="s">
        <v>932</v>
      </c>
      <c r="L170" s="5" t="s">
        <v>930</v>
      </c>
      <c r="M170" s="5">
        <v>0</v>
      </c>
      <c r="N170" s="5" t="s">
        <v>931</v>
      </c>
      <c r="O170" s="5"/>
    </row>
    <row r="171" spans="1:15" ht="15">
      <c r="A171" s="5" t="str">
        <f t="shared" si="2"/>
        <v>완료</v>
      </c>
      <c r="B171" s="5" t="s">
        <v>465</v>
      </c>
      <c r="C171" s="5" t="s">
        <v>465</v>
      </c>
      <c r="D171" s="5" t="s">
        <v>466</v>
      </c>
      <c r="E171" s="5" t="s">
        <v>444</v>
      </c>
      <c r="F171" s="9">
        <f>IFERROR(INDEX(Station_Click_Areas!$F:$F,MATCH(B171,Station_Click_Areas!$B:$B,0)),"")</f>
        <v>1488</v>
      </c>
      <c r="G171" s="9">
        <f>IFERROR(INDEX(Station_Click_Areas!$G:$G,MATCH(B171,Station_Click_Areas!$B:$B,0)),"")</f>
        <v>1396</v>
      </c>
      <c r="H171" s="11">
        <f>IF(F171="","",F171/Config!$B$2*100)</f>
        <v>29.062500000000004</v>
      </c>
      <c r="I171" s="11">
        <f>IF(G171="","",G171/Config!$B$3*100)</f>
        <v>48.472222222222221</v>
      </c>
      <c r="J171" s="5">
        <v>10.5</v>
      </c>
      <c r="K171" s="5" t="s">
        <v>932</v>
      </c>
      <c r="L171" s="5" t="s">
        <v>930</v>
      </c>
      <c r="M171" s="5">
        <v>0</v>
      </c>
      <c r="N171" s="5" t="s">
        <v>931</v>
      </c>
      <c r="O171" s="5"/>
    </row>
    <row r="172" spans="1:15" ht="15">
      <c r="A172" s="5" t="str">
        <f t="shared" si="2"/>
        <v>완료</v>
      </c>
      <c r="B172" s="5" t="s">
        <v>467</v>
      </c>
      <c r="C172" s="5" t="s">
        <v>467</v>
      </c>
      <c r="D172" s="5" t="s">
        <v>468</v>
      </c>
      <c r="E172" s="5" t="s">
        <v>444</v>
      </c>
      <c r="F172" s="9">
        <f>IFERROR(INDEX(Station_Click_Areas!$F:$F,MATCH(B172,Station_Click_Areas!$B:$B,0)),"")</f>
        <v>1572</v>
      </c>
      <c r="G172" s="9">
        <f>IFERROR(INDEX(Station_Click_Areas!$G:$G,MATCH(B172,Station_Click_Areas!$B:$B,0)),"")</f>
        <v>1476</v>
      </c>
      <c r="H172" s="11">
        <f>IF(F172="","",F172/Config!$B$2*100)</f>
        <v>30.703124999999996</v>
      </c>
      <c r="I172" s="11">
        <f>IF(G172="","",G172/Config!$B$3*100)</f>
        <v>51.249999999999993</v>
      </c>
      <c r="J172" s="5">
        <v>10.5</v>
      </c>
      <c r="K172" s="5" t="s">
        <v>932</v>
      </c>
      <c r="L172" s="5" t="s">
        <v>930</v>
      </c>
      <c r="M172" s="5">
        <v>0</v>
      </c>
      <c r="N172" s="5" t="s">
        <v>931</v>
      </c>
      <c r="O172" s="5"/>
    </row>
    <row r="173" spans="1:15" ht="15">
      <c r="A173" s="5" t="str">
        <f t="shared" si="2"/>
        <v>완료</v>
      </c>
      <c r="B173" s="5" t="s">
        <v>469</v>
      </c>
      <c r="C173" s="5" t="s">
        <v>469</v>
      </c>
      <c r="D173" s="5" t="s">
        <v>470</v>
      </c>
      <c r="E173" s="5" t="s">
        <v>444</v>
      </c>
      <c r="F173" s="9">
        <f>IFERROR(INDEX(Station_Click_Areas!$F:$F,MATCH(B173,Station_Click_Areas!$B:$B,0)),"")</f>
        <v>1656</v>
      </c>
      <c r="G173" s="9">
        <f>IFERROR(INDEX(Station_Click_Areas!$G:$G,MATCH(B173,Station_Click_Areas!$B:$B,0)),"")</f>
        <v>1476</v>
      </c>
      <c r="H173" s="11">
        <f>IF(F173="","",F173/Config!$B$2*100)</f>
        <v>32.34375</v>
      </c>
      <c r="I173" s="11">
        <f>IF(G173="","",G173/Config!$B$3*100)</f>
        <v>51.249999999999993</v>
      </c>
      <c r="J173" s="5">
        <v>10.5</v>
      </c>
      <c r="K173" s="5" t="s">
        <v>932</v>
      </c>
      <c r="L173" s="5" t="s">
        <v>930</v>
      </c>
      <c r="M173" s="5">
        <v>0</v>
      </c>
      <c r="N173" s="5" t="s">
        <v>931</v>
      </c>
      <c r="O173" s="5"/>
    </row>
    <row r="174" spans="1:15" ht="15">
      <c r="A174" s="5" t="str">
        <f t="shared" si="2"/>
        <v>완료</v>
      </c>
      <c r="B174" s="5" t="s">
        <v>471</v>
      </c>
      <c r="C174" s="5" t="s">
        <v>471</v>
      </c>
      <c r="D174" s="5" t="s">
        <v>472</v>
      </c>
      <c r="E174" s="5" t="s">
        <v>444</v>
      </c>
      <c r="F174" s="9">
        <f>IFERROR(INDEX(Station_Click_Areas!$F:$F,MATCH(B174,Station_Click_Areas!$B:$B,0)),"")</f>
        <v>1832</v>
      </c>
      <c r="G174" s="9">
        <f>IFERROR(INDEX(Station_Click_Areas!$G:$G,MATCH(B174,Station_Click_Areas!$B:$B,0)),"")</f>
        <v>1476</v>
      </c>
      <c r="H174" s="11">
        <f>IF(F174="","",F174/Config!$B$2*100)</f>
        <v>35.78125</v>
      </c>
      <c r="I174" s="11">
        <f>IF(G174="","",G174/Config!$B$3*100)</f>
        <v>51.249999999999993</v>
      </c>
      <c r="J174" s="5">
        <v>10.5</v>
      </c>
      <c r="K174" s="5" t="s">
        <v>932</v>
      </c>
      <c r="L174" s="5" t="s">
        <v>930</v>
      </c>
      <c r="M174" s="5">
        <v>0</v>
      </c>
      <c r="N174" s="5" t="s">
        <v>931</v>
      </c>
      <c r="O174" s="5"/>
    </row>
    <row r="175" spans="1:15" ht="15">
      <c r="A175" s="5" t="str">
        <f t="shared" si="2"/>
        <v>완료</v>
      </c>
      <c r="B175" s="5" t="s">
        <v>473</v>
      </c>
      <c r="C175" s="5" t="s">
        <v>473</v>
      </c>
      <c r="D175" s="5" t="s">
        <v>474</v>
      </c>
      <c r="E175" s="5" t="s">
        <v>444</v>
      </c>
      <c r="F175" s="9">
        <f>IFERROR(INDEX(Station_Click_Areas!$F:$F,MATCH(B175,Station_Click_Areas!$B:$B,0)),"")</f>
        <v>2048</v>
      </c>
      <c r="G175" s="9">
        <f>IFERROR(INDEX(Station_Click_Areas!$G:$G,MATCH(B175,Station_Click_Areas!$B:$B,0)),"")</f>
        <v>1476</v>
      </c>
      <c r="H175" s="11">
        <f>IF(F175="","",F175/Config!$B$2*100)</f>
        <v>40</v>
      </c>
      <c r="I175" s="11">
        <f>IF(G175="","",G175/Config!$B$3*100)</f>
        <v>51.249999999999993</v>
      </c>
      <c r="J175" s="5">
        <v>10.5</v>
      </c>
      <c r="K175" s="5" t="s">
        <v>932</v>
      </c>
      <c r="L175" s="5" t="s">
        <v>930</v>
      </c>
      <c r="M175" s="5">
        <v>0</v>
      </c>
      <c r="N175" s="5" t="s">
        <v>931</v>
      </c>
      <c r="O175" s="5"/>
    </row>
    <row r="176" spans="1:15" ht="15">
      <c r="A176" s="5" t="str">
        <f t="shared" si="2"/>
        <v>완료</v>
      </c>
      <c r="B176" s="5" t="s">
        <v>475</v>
      </c>
      <c r="C176" s="5" t="s">
        <v>475</v>
      </c>
      <c r="D176" s="5" t="s">
        <v>476</v>
      </c>
      <c r="E176" s="5" t="s">
        <v>444</v>
      </c>
      <c r="F176" s="9">
        <f>IFERROR(INDEX(Station_Click_Areas!$F:$F,MATCH(B176,Station_Click_Areas!$B:$B,0)),"")</f>
        <v>2156</v>
      </c>
      <c r="G176" s="9">
        <f>IFERROR(INDEX(Station_Click_Areas!$G:$G,MATCH(B176,Station_Click_Areas!$B:$B,0)),"")</f>
        <v>1476</v>
      </c>
      <c r="H176" s="11">
        <f>IF(F176="","",F176/Config!$B$2*100)</f>
        <v>42.109375</v>
      </c>
      <c r="I176" s="11">
        <f>IF(G176="","",G176/Config!$B$3*100)</f>
        <v>51.249999999999993</v>
      </c>
      <c r="J176" s="5">
        <v>10.5</v>
      </c>
      <c r="K176" s="5" t="s">
        <v>932</v>
      </c>
      <c r="L176" s="5" t="s">
        <v>930</v>
      </c>
      <c r="M176" s="5">
        <v>0</v>
      </c>
      <c r="N176" s="5" t="s">
        <v>931</v>
      </c>
      <c r="O176" s="5"/>
    </row>
    <row r="177" spans="1:15" ht="15">
      <c r="A177" s="5" t="str">
        <f t="shared" si="2"/>
        <v>완료</v>
      </c>
      <c r="B177" s="5" t="s">
        <v>477</v>
      </c>
      <c r="C177" s="5" t="s">
        <v>477</v>
      </c>
      <c r="D177" s="5" t="s">
        <v>478</v>
      </c>
      <c r="E177" s="5" t="s">
        <v>444</v>
      </c>
      <c r="F177" s="9">
        <f>IFERROR(INDEX(Station_Click_Areas!$F:$F,MATCH(B177,Station_Click_Areas!$B:$B,0)),"")</f>
        <v>2264</v>
      </c>
      <c r="G177" s="9">
        <f>IFERROR(INDEX(Station_Click_Areas!$G:$G,MATCH(B177,Station_Click_Areas!$B:$B,0)),"")</f>
        <v>1476</v>
      </c>
      <c r="H177" s="11">
        <f>IF(F177="","",F177/Config!$B$2*100)</f>
        <v>44.21875</v>
      </c>
      <c r="I177" s="11">
        <f>IF(G177="","",G177/Config!$B$3*100)</f>
        <v>51.249999999999993</v>
      </c>
      <c r="J177" s="5">
        <v>10.5</v>
      </c>
      <c r="K177" s="5" t="s">
        <v>932</v>
      </c>
      <c r="L177" s="5" t="s">
        <v>930</v>
      </c>
      <c r="M177" s="5">
        <v>0</v>
      </c>
      <c r="N177" s="5" t="s">
        <v>931</v>
      </c>
      <c r="O177" s="5"/>
    </row>
    <row r="178" spans="1:15" ht="15">
      <c r="A178" s="5" t="str">
        <f t="shared" si="2"/>
        <v>완료</v>
      </c>
      <c r="B178" s="5" t="s">
        <v>479</v>
      </c>
      <c r="C178" s="5" t="s">
        <v>479</v>
      </c>
      <c r="D178" s="5" t="s">
        <v>480</v>
      </c>
      <c r="E178" s="5" t="s">
        <v>444</v>
      </c>
      <c r="F178" s="9">
        <f>IFERROR(INDEX(Station_Click_Areas!$F:$F,MATCH(B178,Station_Click_Areas!$B:$B,0)),"")</f>
        <v>2372</v>
      </c>
      <c r="G178" s="9">
        <f>IFERROR(INDEX(Station_Click_Areas!$G:$G,MATCH(B178,Station_Click_Areas!$B:$B,0)),"")</f>
        <v>1476</v>
      </c>
      <c r="H178" s="11">
        <f>IF(F178="","",F178/Config!$B$2*100)</f>
        <v>46.328125</v>
      </c>
      <c r="I178" s="11">
        <f>IF(G178="","",G178/Config!$B$3*100)</f>
        <v>51.249999999999993</v>
      </c>
      <c r="J178" s="5">
        <v>10.5</v>
      </c>
      <c r="K178" s="5" t="s">
        <v>932</v>
      </c>
      <c r="L178" s="5" t="s">
        <v>930</v>
      </c>
      <c r="M178" s="5">
        <v>0</v>
      </c>
      <c r="N178" s="5" t="s">
        <v>931</v>
      </c>
      <c r="O178" s="5"/>
    </row>
    <row r="179" spans="1:15" ht="15">
      <c r="A179" s="5" t="str">
        <f t="shared" si="2"/>
        <v>완료</v>
      </c>
      <c r="B179" s="5" t="s">
        <v>481</v>
      </c>
      <c r="C179" s="5" t="s">
        <v>481</v>
      </c>
      <c r="D179" s="5" t="s">
        <v>482</v>
      </c>
      <c r="E179" s="5" t="s">
        <v>444</v>
      </c>
      <c r="F179" s="9">
        <f>IFERROR(INDEX(Station_Click_Areas!$F:$F,MATCH(B179,Station_Click_Areas!$B:$B,0)),"")</f>
        <v>2528</v>
      </c>
      <c r="G179" s="9">
        <f>IFERROR(INDEX(Station_Click_Areas!$G:$G,MATCH(B179,Station_Click_Areas!$B:$B,0)),"")</f>
        <v>872</v>
      </c>
      <c r="H179" s="11">
        <f>IF(F179="","",F179/Config!$B$2*100)</f>
        <v>49.375</v>
      </c>
      <c r="I179" s="11">
        <f>IF(G179="","",G179/Config!$B$3*100)</f>
        <v>30.277777777777775</v>
      </c>
      <c r="J179" s="5">
        <v>10.5</v>
      </c>
      <c r="K179" s="5" t="s">
        <v>932</v>
      </c>
      <c r="L179" s="5" t="s">
        <v>930</v>
      </c>
      <c r="M179" s="5">
        <v>0</v>
      </c>
      <c r="N179" s="5" t="s">
        <v>931</v>
      </c>
      <c r="O179" s="5"/>
    </row>
    <row r="180" spans="1:15" ht="15">
      <c r="A180" s="5" t="str">
        <f t="shared" si="2"/>
        <v>완료</v>
      </c>
      <c r="B180" s="5" t="s">
        <v>483</v>
      </c>
      <c r="C180" s="5" t="s">
        <v>483</v>
      </c>
      <c r="D180" s="5" t="s">
        <v>484</v>
      </c>
      <c r="E180" s="5" t="s">
        <v>444</v>
      </c>
      <c r="F180" s="9">
        <f>IFERROR(INDEX(Station_Click_Areas!$F:$F,MATCH(B180,Station_Click_Areas!$B:$B,0)),"")</f>
        <v>2528</v>
      </c>
      <c r="G180" s="9">
        <f>IFERROR(INDEX(Station_Click_Areas!$G:$G,MATCH(B180,Station_Click_Areas!$B:$B,0)),"")</f>
        <v>768</v>
      </c>
      <c r="H180" s="11">
        <f>IF(F180="","",F180/Config!$B$2*100)</f>
        <v>49.375</v>
      </c>
      <c r="I180" s="11">
        <f>IF(G180="","",G180/Config!$B$3*100)</f>
        <v>26.666666666666668</v>
      </c>
      <c r="J180" s="5">
        <v>10.5</v>
      </c>
      <c r="K180" s="5" t="s">
        <v>932</v>
      </c>
      <c r="L180" s="5" t="s">
        <v>930</v>
      </c>
      <c r="M180" s="5">
        <v>0</v>
      </c>
      <c r="N180" s="5" t="s">
        <v>931</v>
      </c>
      <c r="O180" s="5"/>
    </row>
    <row r="181" spans="1:15" ht="15">
      <c r="A181" s="5" t="str">
        <f t="shared" si="2"/>
        <v>완료</v>
      </c>
      <c r="B181" s="5" t="s">
        <v>485</v>
      </c>
      <c r="C181" s="5" t="s">
        <v>485</v>
      </c>
      <c r="D181" s="5" t="s">
        <v>486</v>
      </c>
      <c r="E181" s="5" t="s">
        <v>444</v>
      </c>
      <c r="F181" s="9">
        <f>IFERROR(INDEX(Station_Click_Areas!$F:$F,MATCH(B181,Station_Click_Areas!$B:$B,0)),"")</f>
        <v>2660</v>
      </c>
      <c r="G181" s="9">
        <f>IFERROR(INDEX(Station_Click_Areas!$G:$G,MATCH(B181,Station_Click_Areas!$B:$B,0)),"")</f>
        <v>768</v>
      </c>
      <c r="H181" s="11">
        <f>IF(F181="","",F181/Config!$B$2*100)</f>
        <v>51.953125</v>
      </c>
      <c r="I181" s="11">
        <f>IF(G181="","",G181/Config!$B$3*100)</f>
        <v>26.666666666666668</v>
      </c>
      <c r="J181" s="5">
        <v>10.5</v>
      </c>
      <c r="K181" s="5" t="s">
        <v>932</v>
      </c>
      <c r="L181" s="5" t="s">
        <v>930</v>
      </c>
      <c r="M181" s="5">
        <v>0</v>
      </c>
      <c r="N181" s="5" t="s">
        <v>931</v>
      </c>
      <c r="O181" s="5"/>
    </row>
    <row r="182" spans="1:15" ht="15">
      <c r="A182" s="5" t="str">
        <f t="shared" si="2"/>
        <v>완료</v>
      </c>
      <c r="B182" s="5" t="s">
        <v>488</v>
      </c>
      <c r="C182" s="5" t="s">
        <v>488</v>
      </c>
      <c r="D182" s="5" t="s">
        <v>489</v>
      </c>
      <c r="E182" s="5" t="s">
        <v>444</v>
      </c>
      <c r="F182" s="9">
        <f>IFERROR(INDEX(Station_Click_Areas!$F:$F,MATCH(B182,Station_Click_Areas!$B:$B,0)),"")</f>
        <v>2792</v>
      </c>
      <c r="G182" s="9">
        <f>IFERROR(INDEX(Station_Click_Areas!$G:$G,MATCH(B182,Station_Click_Areas!$B:$B,0)),"")</f>
        <v>768</v>
      </c>
      <c r="H182" s="11">
        <f>IF(F182="","",F182/Config!$B$2*100)</f>
        <v>54.53125</v>
      </c>
      <c r="I182" s="11">
        <f>IF(G182="","",G182/Config!$B$3*100)</f>
        <v>26.666666666666668</v>
      </c>
      <c r="J182" s="5">
        <v>10.5</v>
      </c>
      <c r="K182" s="5" t="s">
        <v>932</v>
      </c>
      <c r="L182" s="5" t="s">
        <v>930</v>
      </c>
      <c r="M182" s="5">
        <v>0</v>
      </c>
      <c r="N182" s="5" t="s">
        <v>931</v>
      </c>
      <c r="O182" s="5"/>
    </row>
    <row r="183" spans="1:15" ht="15">
      <c r="A183" s="5" t="str">
        <f t="shared" si="2"/>
        <v>완료</v>
      </c>
      <c r="B183" s="5" t="s">
        <v>491</v>
      </c>
      <c r="C183" s="5" t="s">
        <v>491</v>
      </c>
      <c r="D183" s="5" t="s">
        <v>492</v>
      </c>
      <c r="E183" s="5" t="s">
        <v>444</v>
      </c>
      <c r="F183" s="9">
        <f>IFERROR(INDEX(Station_Click_Areas!$F:$F,MATCH(B183,Station_Click_Areas!$B:$B,0)),"")</f>
        <v>2924</v>
      </c>
      <c r="G183" s="9">
        <f>IFERROR(INDEX(Station_Click_Areas!$G:$G,MATCH(B183,Station_Click_Areas!$B:$B,0)),"")</f>
        <v>768</v>
      </c>
      <c r="H183" s="11">
        <f>IF(F183="","",F183/Config!$B$2*100)</f>
        <v>57.109374999999993</v>
      </c>
      <c r="I183" s="11">
        <f>IF(G183="","",G183/Config!$B$3*100)</f>
        <v>26.666666666666668</v>
      </c>
      <c r="J183" s="5">
        <v>10.5</v>
      </c>
      <c r="K183" s="5" t="s">
        <v>932</v>
      </c>
      <c r="L183" s="5" t="s">
        <v>930</v>
      </c>
      <c r="M183" s="5">
        <v>0</v>
      </c>
      <c r="N183" s="5" t="s">
        <v>931</v>
      </c>
      <c r="O183" s="5"/>
    </row>
    <row r="184" spans="1:15" ht="15">
      <c r="A184" s="5" t="str">
        <f t="shared" si="2"/>
        <v>완료</v>
      </c>
      <c r="B184" s="5" t="s">
        <v>493</v>
      </c>
      <c r="C184" s="5" t="s">
        <v>493</v>
      </c>
      <c r="D184" s="5" t="s">
        <v>494</v>
      </c>
      <c r="E184" s="5" t="s">
        <v>444</v>
      </c>
      <c r="F184" s="9">
        <f>IFERROR(INDEX(Station_Click_Areas!$F:$F,MATCH(B184,Station_Click_Areas!$B:$B,0)),"")</f>
        <v>3056</v>
      </c>
      <c r="G184" s="9">
        <f>IFERROR(INDEX(Station_Click_Areas!$G:$G,MATCH(B184,Station_Click_Areas!$B:$B,0)),"")</f>
        <v>768</v>
      </c>
      <c r="H184" s="11">
        <f>IF(F184="","",F184/Config!$B$2*100)</f>
        <v>59.687500000000007</v>
      </c>
      <c r="I184" s="11">
        <f>IF(G184="","",G184/Config!$B$3*100)</f>
        <v>26.666666666666668</v>
      </c>
      <c r="J184" s="5">
        <v>10.5</v>
      </c>
      <c r="K184" s="5" t="s">
        <v>932</v>
      </c>
      <c r="L184" s="5" t="s">
        <v>930</v>
      </c>
      <c r="M184" s="5">
        <v>0</v>
      </c>
      <c r="N184" s="5" t="s">
        <v>931</v>
      </c>
      <c r="O184" s="5"/>
    </row>
    <row r="185" spans="1:15" ht="15">
      <c r="A185" s="5" t="str">
        <f t="shared" si="2"/>
        <v>완료</v>
      </c>
      <c r="B185" s="5" t="s">
        <v>495</v>
      </c>
      <c r="C185" s="5" t="s">
        <v>495</v>
      </c>
      <c r="D185" s="5" t="s">
        <v>496</v>
      </c>
      <c r="E185" s="5" t="s">
        <v>444</v>
      </c>
      <c r="F185" s="9">
        <f>IFERROR(INDEX(Station_Click_Areas!$F:$F,MATCH(B185,Station_Click_Areas!$B:$B,0)),"")</f>
        <v>3188</v>
      </c>
      <c r="G185" s="9">
        <f>IFERROR(INDEX(Station_Click_Areas!$G:$G,MATCH(B185,Station_Click_Areas!$B:$B,0)),"")</f>
        <v>768</v>
      </c>
      <c r="H185" s="11">
        <f>IF(F185="","",F185/Config!$B$2*100)</f>
        <v>62.265625</v>
      </c>
      <c r="I185" s="11">
        <f>IF(G185="","",G185/Config!$B$3*100)</f>
        <v>26.666666666666668</v>
      </c>
      <c r="J185" s="5">
        <v>10.5</v>
      </c>
      <c r="K185" s="5" t="s">
        <v>932</v>
      </c>
      <c r="L185" s="5" t="s">
        <v>930</v>
      </c>
      <c r="M185" s="5">
        <v>0</v>
      </c>
      <c r="N185" s="5" t="s">
        <v>931</v>
      </c>
      <c r="O185" s="5"/>
    </row>
    <row r="186" spans="1:15" ht="15">
      <c r="A186" s="5" t="str">
        <f t="shared" si="2"/>
        <v>완료</v>
      </c>
      <c r="B186" s="5" t="s">
        <v>497</v>
      </c>
      <c r="C186" s="5" t="s">
        <v>497</v>
      </c>
      <c r="D186" s="5" t="s">
        <v>498</v>
      </c>
      <c r="E186" s="5" t="s">
        <v>444</v>
      </c>
      <c r="F186" s="9">
        <f>IFERROR(INDEX(Station_Click_Areas!$F:$F,MATCH(B186,Station_Click_Areas!$B:$B,0)),"")</f>
        <v>3324</v>
      </c>
      <c r="G186" s="9">
        <f>IFERROR(INDEX(Station_Click_Areas!$G:$G,MATCH(B186,Station_Click_Areas!$B:$B,0)),"")</f>
        <v>768</v>
      </c>
      <c r="H186" s="11">
        <f>IF(F186="","",F186/Config!$B$2*100)</f>
        <v>64.921875</v>
      </c>
      <c r="I186" s="11">
        <f>IF(G186="","",G186/Config!$B$3*100)</f>
        <v>26.666666666666668</v>
      </c>
      <c r="J186" s="5">
        <v>10.5</v>
      </c>
      <c r="K186" s="5" t="s">
        <v>932</v>
      </c>
      <c r="L186" s="5" t="s">
        <v>930</v>
      </c>
      <c r="M186" s="5">
        <v>0</v>
      </c>
      <c r="N186" s="5" t="s">
        <v>931</v>
      </c>
      <c r="O186" s="5"/>
    </row>
    <row r="187" spans="1:15" ht="15">
      <c r="A187" s="5" t="str">
        <f t="shared" si="2"/>
        <v>완료</v>
      </c>
      <c r="B187" s="5" t="s">
        <v>499</v>
      </c>
      <c r="C187" s="5" t="s">
        <v>499</v>
      </c>
      <c r="D187" s="5" t="s">
        <v>500</v>
      </c>
      <c r="E187" s="5" t="s">
        <v>501</v>
      </c>
      <c r="F187" s="9">
        <f>IFERROR(INDEX(Station_Click_Areas!$F:$F,MATCH(B187,Station_Click_Areas!$B:$B,0)),"")</f>
        <v>3464</v>
      </c>
      <c r="G187" s="9">
        <f>IFERROR(INDEX(Station_Click_Areas!$G:$G,MATCH(B187,Station_Click_Areas!$B:$B,0)),"")</f>
        <v>636</v>
      </c>
      <c r="H187" s="11">
        <f>IF(F187="","",F187/Config!$B$2*100)</f>
        <v>67.65625</v>
      </c>
      <c r="I187" s="11">
        <f>IF(G187="","",G187/Config!$B$3*100)</f>
        <v>22.083333333333332</v>
      </c>
      <c r="J187" s="5">
        <v>12</v>
      </c>
      <c r="K187" s="5" t="s">
        <v>929</v>
      </c>
      <c r="L187" s="5" t="s">
        <v>930</v>
      </c>
      <c r="M187" s="5">
        <v>0</v>
      </c>
      <c r="N187" s="5" t="s">
        <v>931</v>
      </c>
      <c r="O187" s="5"/>
    </row>
    <row r="188" spans="1:15" ht="15">
      <c r="A188" s="5" t="str">
        <f t="shared" si="2"/>
        <v>완료</v>
      </c>
      <c r="B188" s="5" t="s">
        <v>503</v>
      </c>
      <c r="C188" s="5" t="s">
        <v>503</v>
      </c>
      <c r="D188" s="5" t="s">
        <v>504</v>
      </c>
      <c r="E188" s="5" t="s">
        <v>444</v>
      </c>
      <c r="F188" s="9">
        <f>IFERROR(INDEX(Station_Click_Areas!$F:$F,MATCH(B188,Station_Click_Areas!$B:$B,0)),"")</f>
        <v>3664</v>
      </c>
      <c r="G188" s="9">
        <f>IFERROR(INDEX(Station_Click_Areas!$G:$G,MATCH(B188,Station_Click_Areas!$B:$B,0)),"")</f>
        <v>636</v>
      </c>
      <c r="H188" s="11">
        <f>IF(F188="","",F188/Config!$B$2*100)</f>
        <v>71.5625</v>
      </c>
      <c r="I188" s="11">
        <f>IF(G188="","",G188/Config!$B$3*100)</f>
        <v>22.083333333333332</v>
      </c>
      <c r="J188" s="5">
        <v>10.5</v>
      </c>
      <c r="K188" s="5" t="s">
        <v>932</v>
      </c>
      <c r="L188" s="5" t="s">
        <v>930</v>
      </c>
      <c r="M188" s="5">
        <v>0</v>
      </c>
      <c r="N188" s="5" t="s">
        <v>931</v>
      </c>
      <c r="O188" s="5"/>
    </row>
    <row r="189" spans="1:15" ht="15">
      <c r="A189" s="5" t="str">
        <f t="shared" si="2"/>
        <v>완료</v>
      </c>
      <c r="B189" s="5" t="s">
        <v>505</v>
      </c>
      <c r="C189" s="5" t="s">
        <v>505</v>
      </c>
      <c r="D189" s="5" t="s">
        <v>506</v>
      </c>
      <c r="E189" s="5" t="s">
        <v>444</v>
      </c>
      <c r="F189" s="9">
        <f>IFERROR(INDEX(Station_Click_Areas!$F:$F,MATCH(B189,Station_Click_Areas!$B:$B,0)),"")</f>
        <v>3664</v>
      </c>
      <c r="G189" s="9">
        <f>IFERROR(INDEX(Station_Click_Areas!$G:$G,MATCH(B189,Station_Click_Areas!$B:$B,0)),"")</f>
        <v>792</v>
      </c>
      <c r="H189" s="11">
        <f>IF(F189="","",F189/Config!$B$2*100)</f>
        <v>71.5625</v>
      </c>
      <c r="I189" s="11">
        <f>IF(G189="","",G189/Config!$B$3*100)</f>
        <v>27.500000000000004</v>
      </c>
      <c r="J189" s="5">
        <v>10.5</v>
      </c>
      <c r="K189" s="5" t="s">
        <v>932</v>
      </c>
      <c r="L189" s="5" t="s">
        <v>930</v>
      </c>
      <c r="M189" s="5">
        <v>0</v>
      </c>
      <c r="N189" s="5" t="s">
        <v>931</v>
      </c>
      <c r="O189" s="5"/>
    </row>
    <row r="190" spans="1:15" ht="15">
      <c r="A190" s="5" t="str">
        <f t="shared" si="2"/>
        <v>완료</v>
      </c>
      <c r="B190" s="5" t="s">
        <v>507</v>
      </c>
      <c r="C190" s="5" t="s">
        <v>507</v>
      </c>
      <c r="D190" s="5" t="s">
        <v>508</v>
      </c>
      <c r="E190" s="5" t="s">
        <v>444</v>
      </c>
      <c r="F190" s="9">
        <f>IFERROR(INDEX(Station_Click_Areas!$F:$F,MATCH(B190,Station_Click_Areas!$B:$B,0)),"")</f>
        <v>3664</v>
      </c>
      <c r="G190" s="9">
        <f>IFERROR(INDEX(Station_Click_Areas!$G:$G,MATCH(B190,Station_Click_Areas!$B:$B,0)),"")</f>
        <v>948</v>
      </c>
      <c r="H190" s="11">
        <f>IF(F190="","",F190/Config!$B$2*100)</f>
        <v>71.5625</v>
      </c>
      <c r="I190" s="11">
        <f>IF(G190="","",G190/Config!$B$3*100)</f>
        <v>32.916666666666664</v>
      </c>
      <c r="J190" s="5">
        <v>10.5</v>
      </c>
      <c r="K190" s="5" t="s">
        <v>932</v>
      </c>
      <c r="L190" s="5" t="s">
        <v>930</v>
      </c>
      <c r="M190" s="5">
        <v>0</v>
      </c>
      <c r="N190" s="5" t="s">
        <v>931</v>
      </c>
      <c r="O190" s="5"/>
    </row>
    <row r="191" spans="1:15" ht="15">
      <c r="A191" s="5" t="str">
        <f t="shared" si="2"/>
        <v>완료</v>
      </c>
      <c r="B191" s="5" t="s">
        <v>509</v>
      </c>
      <c r="C191" s="5" t="s">
        <v>509</v>
      </c>
      <c r="D191" s="5" t="s">
        <v>510</v>
      </c>
      <c r="E191" s="5" t="s">
        <v>511</v>
      </c>
      <c r="F191" s="9">
        <f>IFERROR(INDEX(Station_Click_Areas!$F:$F,MATCH(B191,Station_Click_Areas!$B:$B,0)),"")</f>
        <v>3064</v>
      </c>
      <c r="G191" s="9">
        <f>IFERROR(INDEX(Station_Click_Areas!$G:$G,MATCH(B191,Station_Click_Areas!$B:$B,0)),"")</f>
        <v>408</v>
      </c>
      <c r="H191" s="11">
        <f>IF(F191="","",F191/Config!$B$2*100)</f>
        <v>59.843749999999993</v>
      </c>
      <c r="I191" s="11">
        <f>IF(G191="","",G191/Config!$B$3*100)</f>
        <v>14.166666666666666</v>
      </c>
      <c r="J191" s="5">
        <v>10.5</v>
      </c>
      <c r="K191" s="5" t="s">
        <v>932</v>
      </c>
      <c r="L191" s="5" t="s">
        <v>930</v>
      </c>
      <c r="M191" s="5">
        <v>0</v>
      </c>
      <c r="N191" s="5" t="s">
        <v>931</v>
      </c>
      <c r="O191" s="5"/>
    </row>
    <row r="192" spans="1:15" ht="15">
      <c r="A192" s="5" t="str">
        <f t="shared" si="2"/>
        <v>완료</v>
      </c>
      <c r="B192" s="5" t="s">
        <v>513</v>
      </c>
      <c r="C192" s="5" t="s">
        <v>513</v>
      </c>
      <c r="D192" s="5" t="s">
        <v>514</v>
      </c>
      <c r="E192" s="5" t="s">
        <v>511</v>
      </c>
      <c r="F192" s="9">
        <f>IFERROR(INDEX(Station_Click_Areas!$F:$F,MATCH(B192,Station_Click_Areas!$B:$B,0)),"")</f>
        <v>3064</v>
      </c>
      <c r="G192" s="9">
        <f>IFERROR(INDEX(Station_Click_Areas!$G:$G,MATCH(B192,Station_Click_Areas!$B:$B,0)),"")</f>
        <v>324</v>
      </c>
      <c r="H192" s="11">
        <f>IF(F192="","",F192/Config!$B$2*100)</f>
        <v>59.843749999999993</v>
      </c>
      <c r="I192" s="11">
        <f>IF(G192="","",G192/Config!$B$3*100)</f>
        <v>11.25</v>
      </c>
      <c r="J192" s="5">
        <v>10.5</v>
      </c>
      <c r="K192" s="5" t="s">
        <v>932</v>
      </c>
      <c r="L192" s="5" t="s">
        <v>930</v>
      </c>
      <c r="M192" s="5">
        <v>0</v>
      </c>
      <c r="N192" s="5" t="s">
        <v>931</v>
      </c>
      <c r="O192" s="5"/>
    </row>
    <row r="193" spans="1:15" ht="15">
      <c r="A193" s="5" t="str">
        <f t="shared" si="2"/>
        <v>완료</v>
      </c>
      <c r="B193" s="5" t="s">
        <v>515</v>
      </c>
      <c r="C193" s="5" t="s">
        <v>515</v>
      </c>
      <c r="D193" s="5" t="s">
        <v>516</v>
      </c>
      <c r="E193" s="5" t="s">
        <v>511</v>
      </c>
      <c r="F193" s="9">
        <f>IFERROR(INDEX(Station_Click_Areas!$F:$F,MATCH(B193,Station_Click_Areas!$B:$B,0)),"")</f>
        <v>3064</v>
      </c>
      <c r="G193" s="9">
        <f>IFERROR(INDEX(Station_Click_Areas!$G:$G,MATCH(B193,Station_Click_Areas!$B:$B,0)),"")</f>
        <v>240</v>
      </c>
      <c r="H193" s="11">
        <f>IF(F193="","",F193/Config!$B$2*100)</f>
        <v>59.843749999999993</v>
      </c>
      <c r="I193" s="11">
        <f>IF(G193="","",G193/Config!$B$3*100)</f>
        <v>8.3333333333333321</v>
      </c>
      <c r="J193" s="5">
        <v>10.5</v>
      </c>
      <c r="K193" s="5" t="s">
        <v>932</v>
      </c>
      <c r="L193" s="5" t="s">
        <v>930</v>
      </c>
      <c r="M193" s="5">
        <v>0</v>
      </c>
      <c r="N193" s="5" t="s">
        <v>931</v>
      </c>
      <c r="O193" s="5"/>
    </row>
    <row r="194" spans="1:15" ht="15">
      <c r="A194" s="5" t="str">
        <f t="shared" ref="A194:A241" si="3">IF(OR(F194="",G194=""),"미작업","완료")</f>
        <v>완료</v>
      </c>
      <c r="B194" s="5" t="s">
        <v>517</v>
      </c>
      <c r="C194" s="5" t="s">
        <v>517</v>
      </c>
      <c r="D194" s="5" t="s">
        <v>518</v>
      </c>
      <c r="E194" s="5" t="s">
        <v>511</v>
      </c>
      <c r="F194" s="9">
        <f>IFERROR(INDEX(Station_Click_Areas!$F:$F,MATCH(B194,Station_Click_Areas!$B:$B,0)),"")</f>
        <v>3464</v>
      </c>
      <c r="G194" s="9">
        <f>IFERROR(INDEX(Station_Click_Areas!$G:$G,MATCH(B194,Station_Click_Areas!$B:$B,0)),"")</f>
        <v>240</v>
      </c>
      <c r="H194" s="11">
        <f>IF(F194="","",F194/Config!$B$2*100)</f>
        <v>67.65625</v>
      </c>
      <c r="I194" s="11">
        <f>IF(G194="","",G194/Config!$B$3*100)</f>
        <v>8.3333333333333321</v>
      </c>
      <c r="J194" s="5">
        <v>10.5</v>
      </c>
      <c r="K194" s="5" t="s">
        <v>932</v>
      </c>
      <c r="L194" s="5" t="s">
        <v>930</v>
      </c>
      <c r="M194" s="5">
        <v>0</v>
      </c>
      <c r="N194" s="5" t="s">
        <v>931</v>
      </c>
      <c r="O194" s="5"/>
    </row>
    <row r="195" spans="1:15" ht="15">
      <c r="A195" s="5" t="str">
        <f t="shared" si="3"/>
        <v>완료</v>
      </c>
      <c r="B195" s="5" t="s">
        <v>519</v>
      </c>
      <c r="C195" s="5" t="s">
        <v>519</v>
      </c>
      <c r="D195" s="5" t="s">
        <v>520</v>
      </c>
      <c r="E195" s="5" t="s">
        <v>511</v>
      </c>
      <c r="F195" s="9">
        <f>IFERROR(INDEX(Station_Click_Areas!$F:$F,MATCH(B195,Station_Click_Areas!$B:$B,0)),"")</f>
        <v>3464</v>
      </c>
      <c r="G195" s="9">
        <f>IFERROR(INDEX(Station_Click_Areas!$G:$G,MATCH(B195,Station_Click_Areas!$B:$B,0)),"")</f>
        <v>426</v>
      </c>
      <c r="H195" s="11">
        <f>IF(F195="","",F195/Config!$B$2*100)</f>
        <v>67.65625</v>
      </c>
      <c r="I195" s="11">
        <f>IF(G195="","",G195/Config!$B$3*100)</f>
        <v>14.791666666666666</v>
      </c>
      <c r="J195" s="5">
        <v>10.5</v>
      </c>
      <c r="K195" s="5" t="s">
        <v>932</v>
      </c>
      <c r="L195" s="5" t="s">
        <v>930</v>
      </c>
      <c r="M195" s="5">
        <v>0</v>
      </c>
      <c r="N195" s="5" t="s">
        <v>931</v>
      </c>
      <c r="O195" s="5"/>
    </row>
    <row r="196" spans="1:15" ht="15">
      <c r="A196" s="5" t="str">
        <f t="shared" si="3"/>
        <v>완료</v>
      </c>
      <c r="B196" s="5" t="s">
        <v>521</v>
      </c>
      <c r="C196" s="5" t="s">
        <v>521</v>
      </c>
      <c r="D196" s="5" t="s">
        <v>522</v>
      </c>
      <c r="E196" s="5" t="s">
        <v>511</v>
      </c>
      <c r="F196" s="9">
        <f>IFERROR(INDEX(Station_Click_Areas!$F:$F,MATCH(B196,Station_Click_Areas!$B:$B,0)),"")</f>
        <v>3464</v>
      </c>
      <c r="G196" s="9">
        <f>IFERROR(INDEX(Station_Click_Areas!$G:$G,MATCH(B196,Station_Click_Areas!$B:$B,0)),"")</f>
        <v>496</v>
      </c>
      <c r="H196" s="11">
        <f>IF(F196="","",F196/Config!$B$2*100)</f>
        <v>67.65625</v>
      </c>
      <c r="I196" s="11">
        <f>IF(G196="","",G196/Config!$B$3*100)</f>
        <v>17.222222222222221</v>
      </c>
      <c r="J196" s="5">
        <v>10.5</v>
      </c>
      <c r="K196" s="5" t="s">
        <v>932</v>
      </c>
      <c r="L196" s="5" t="s">
        <v>930</v>
      </c>
      <c r="M196" s="5">
        <v>0</v>
      </c>
      <c r="N196" s="5" t="s">
        <v>931</v>
      </c>
      <c r="O196" s="5"/>
    </row>
    <row r="197" spans="1:15" ht="15">
      <c r="A197" s="5" t="str">
        <f t="shared" si="3"/>
        <v>완료</v>
      </c>
      <c r="B197" s="5" t="s">
        <v>523</v>
      </c>
      <c r="C197" s="5" t="s">
        <v>523</v>
      </c>
      <c r="D197" s="5" t="s">
        <v>524</v>
      </c>
      <c r="E197" s="5" t="s">
        <v>511</v>
      </c>
      <c r="F197" s="9">
        <f>IFERROR(INDEX(Station_Click_Areas!$F:$F,MATCH(B197,Station_Click_Areas!$B:$B,0)),"")</f>
        <v>3464</v>
      </c>
      <c r="G197" s="9">
        <f>IFERROR(INDEX(Station_Click_Areas!$G:$G,MATCH(B197,Station_Click_Areas!$B:$B,0)),"")</f>
        <v>566</v>
      </c>
      <c r="H197" s="11">
        <f>IF(F197="","",F197/Config!$B$2*100)</f>
        <v>67.65625</v>
      </c>
      <c r="I197" s="11">
        <f>IF(G197="","",G197/Config!$B$3*100)</f>
        <v>19.652777777777779</v>
      </c>
      <c r="J197" s="5">
        <v>10.5</v>
      </c>
      <c r="K197" s="5" t="s">
        <v>932</v>
      </c>
      <c r="L197" s="5" t="s">
        <v>930</v>
      </c>
      <c r="M197" s="5">
        <v>0</v>
      </c>
      <c r="N197" s="5" t="s">
        <v>931</v>
      </c>
      <c r="O197" s="5"/>
    </row>
    <row r="198" spans="1:15" ht="15">
      <c r="A198" s="5" t="str">
        <f t="shared" si="3"/>
        <v>완료</v>
      </c>
      <c r="B198" s="5" t="s">
        <v>525</v>
      </c>
      <c r="C198" s="5" t="s">
        <v>525</v>
      </c>
      <c r="D198" s="5" t="s">
        <v>526</v>
      </c>
      <c r="E198" s="5" t="s">
        <v>511</v>
      </c>
      <c r="F198" s="9">
        <f>IFERROR(INDEX(Station_Click_Areas!$F:$F,MATCH(B198,Station_Click_Areas!$B:$B,0)),"")</f>
        <v>3464</v>
      </c>
      <c r="G198" s="9">
        <f>IFERROR(INDEX(Station_Click_Areas!$G:$G,MATCH(B198,Station_Click_Areas!$B:$B,0)),"")</f>
        <v>748</v>
      </c>
      <c r="H198" s="11">
        <f>IF(F198="","",F198/Config!$B$2*100)</f>
        <v>67.65625</v>
      </c>
      <c r="I198" s="11">
        <f>IF(G198="","",G198/Config!$B$3*100)</f>
        <v>25.972222222222225</v>
      </c>
      <c r="J198" s="5">
        <v>10.5</v>
      </c>
      <c r="K198" s="5" t="s">
        <v>932</v>
      </c>
      <c r="L198" s="5" t="s">
        <v>930</v>
      </c>
      <c r="M198" s="5">
        <v>0</v>
      </c>
      <c r="N198" s="5" t="s">
        <v>931</v>
      </c>
      <c r="O198" s="5"/>
    </row>
    <row r="199" spans="1:15" ht="15">
      <c r="A199" s="5" t="str">
        <f t="shared" si="3"/>
        <v>완료</v>
      </c>
      <c r="B199" s="5" t="s">
        <v>527</v>
      </c>
      <c r="C199" s="5" t="s">
        <v>527</v>
      </c>
      <c r="D199" s="5" t="s">
        <v>528</v>
      </c>
      <c r="E199" s="5" t="s">
        <v>511</v>
      </c>
      <c r="F199" s="9">
        <f>IFERROR(INDEX(Station_Click_Areas!$F:$F,MATCH(B199,Station_Click_Areas!$B:$B,0)),"")</f>
        <v>3464</v>
      </c>
      <c r="G199" s="9">
        <f>IFERROR(INDEX(Station_Click_Areas!$G:$G,MATCH(B199,Station_Click_Areas!$B:$B,0)),"")</f>
        <v>860</v>
      </c>
      <c r="H199" s="11">
        <f>IF(F199="","",F199/Config!$B$2*100)</f>
        <v>67.65625</v>
      </c>
      <c r="I199" s="11">
        <f>IF(G199="","",G199/Config!$B$3*100)</f>
        <v>29.861111111111111</v>
      </c>
      <c r="J199" s="5">
        <v>10.5</v>
      </c>
      <c r="K199" s="5" t="s">
        <v>932</v>
      </c>
      <c r="L199" s="5" t="s">
        <v>930</v>
      </c>
      <c r="M199" s="5">
        <v>0</v>
      </c>
      <c r="N199" s="5" t="s">
        <v>931</v>
      </c>
      <c r="O199" s="5"/>
    </row>
    <row r="200" spans="1:15" ht="15">
      <c r="A200" s="5" t="str">
        <f t="shared" si="3"/>
        <v>완료</v>
      </c>
      <c r="B200" s="5" t="s">
        <v>529</v>
      </c>
      <c r="C200" s="5" t="s">
        <v>529</v>
      </c>
      <c r="D200" s="5" t="s">
        <v>530</v>
      </c>
      <c r="E200" s="5" t="s">
        <v>511</v>
      </c>
      <c r="F200" s="9">
        <f>IFERROR(INDEX(Station_Click_Areas!$F:$F,MATCH(B200,Station_Click_Areas!$B:$B,0)),"")</f>
        <v>3464</v>
      </c>
      <c r="G200" s="9">
        <f>IFERROR(INDEX(Station_Click_Areas!$G:$G,MATCH(B200,Station_Click_Areas!$B:$B,0)),"")</f>
        <v>972</v>
      </c>
      <c r="H200" s="11">
        <f>IF(F200="","",F200/Config!$B$2*100)</f>
        <v>67.65625</v>
      </c>
      <c r="I200" s="11">
        <f>IF(G200="","",G200/Config!$B$3*100)</f>
        <v>33.75</v>
      </c>
      <c r="J200" s="5">
        <v>10.5</v>
      </c>
      <c r="K200" s="5" t="s">
        <v>932</v>
      </c>
      <c r="L200" s="5" t="s">
        <v>930</v>
      </c>
      <c r="M200" s="5">
        <v>0</v>
      </c>
      <c r="N200" s="5" t="s">
        <v>931</v>
      </c>
      <c r="O200" s="5"/>
    </row>
    <row r="201" spans="1:15" ht="15">
      <c r="A201" s="5" t="str">
        <f t="shared" si="3"/>
        <v>완료</v>
      </c>
      <c r="B201" s="5" t="s">
        <v>531</v>
      </c>
      <c r="C201" s="5" t="s">
        <v>531</v>
      </c>
      <c r="D201" s="5" t="s">
        <v>532</v>
      </c>
      <c r="E201" s="5" t="s">
        <v>511</v>
      </c>
      <c r="F201" s="9">
        <f>IFERROR(INDEX(Station_Click_Areas!$F:$F,MATCH(B201,Station_Click_Areas!$B:$B,0)),"")</f>
        <v>3420</v>
      </c>
      <c r="G201" s="9">
        <f>IFERROR(INDEX(Station_Click_Areas!$G:$G,MATCH(B201,Station_Click_Areas!$B:$B,0)),"")</f>
        <v>1020</v>
      </c>
      <c r="H201" s="11">
        <f>IF(F201="","",F201/Config!$B$2*100)</f>
        <v>66.796875</v>
      </c>
      <c r="I201" s="11">
        <f>IF(G201="","",G201/Config!$B$3*100)</f>
        <v>35.416666666666671</v>
      </c>
      <c r="J201" s="5">
        <v>10.5</v>
      </c>
      <c r="K201" s="5" t="s">
        <v>932</v>
      </c>
      <c r="L201" s="5" t="s">
        <v>930</v>
      </c>
      <c r="M201" s="5">
        <v>0</v>
      </c>
      <c r="N201" s="5" t="s">
        <v>931</v>
      </c>
      <c r="O201" s="5"/>
    </row>
    <row r="202" spans="1:15" ht="15">
      <c r="A202" s="5" t="str">
        <f t="shared" si="3"/>
        <v>완료</v>
      </c>
      <c r="B202" s="5" t="s">
        <v>533</v>
      </c>
      <c r="C202" s="5" t="s">
        <v>533</v>
      </c>
      <c r="D202" s="5" t="s">
        <v>534</v>
      </c>
      <c r="E202" s="5" t="s">
        <v>511</v>
      </c>
      <c r="F202" s="9">
        <f>IFERROR(INDEX(Station_Click_Areas!$F:$F,MATCH(B202,Station_Click_Areas!$B:$B,0)),"")</f>
        <v>3364</v>
      </c>
      <c r="G202" s="9">
        <f>IFERROR(INDEX(Station_Click_Areas!$G:$G,MATCH(B202,Station_Click_Areas!$B:$B,0)),"")</f>
        <v>1078</v>
      </c>
      <c r="H202" s="11">
        <f>IF(F202="","",F202/Config!$B$2*100)</f>
        <v>65.703125</v>
      </c>
      <c r="I202" s="11">
        <f>IF(G202="","",G202/Config!$B$3*100)</f>
        <v>37.430555555555557</v>
      </c>
      <c r="J202" s="5">
        <v>10.5</v>
      </c>
      <c r="K202" s="5" t="s">
        <v>932</v>
      </c>
      <c r="L202" s="5" t="s">
        <v>930</v>
      </c>
      <c r="M202" s="5">
        <v>0</v>
      </c>
      <c r="N202" s="5" t="s">
        <v>931</v>
      </c>
      <c r="O202" s="5"/>
    </row>
    <row r="203" spans="1:15" ht="15">
      <c r="A203" s="5" t="str">
        <f t="shared" si="3"/>
        <v>완료</v>
      </c>
      <c r="B203" s="5" t="s">
        <v>535</v>
      </c>
      <c r="C203" s="5" t="s">
        <v>535</v>
      </c>
      <c r="D203" s="5" t="s">
        <v>536</v>
      </c>
      <c r="E203" s="5" t="s">
        <v>511</v>
      </c>
      <c r="F203" s="9">
        <f>IFERROR(INDEX(Station_Click_Areas!$F:$F,MATCH(B203,Station_Click_Areas!$B:$B,0)),"")</f>
        <v>3304</v>
      </c>
      <c r="G203" s="9">
        <f>IFERROR(INDEX(Station_Click_Areas!$G:$G,MATCH(B203,Station_Click_Areas!$B:$B,0)),"")</f>
        <v>1136</v>
      </c>
      <c r="H203" s="11">
        <f>IF(F203="","",F203/Config!$B$2*100)</f>
        <v>64.53125</v>
      </c>
      <c r="I203" s="11">
        <f>IF(G203="","",G203/Config!$B$3*100)</f>
        <v>39.444444444444443</v>
      </c>
      <c r="J203" s="5">
        <v>10.5</v>
      </c>
      <c r="K203" s="5" t="s">
        <v>932</v>
      </c>
      <c r="L203" s="5" t="s">
        <v>930</v>
      </c>
      <c r="M203" s="5">
        <v>0</v>
      </c>
      <c r="N203" s="5" t="s">
        <v>931</v>
      </c>
      <c r="O203" s="5"/>
    </row>
    <row r="204" spans="1:15" ht="15">
      <c r="A204" s="5" t="str">
        <f t="shared" si="3"/>
        <v>완료</v>
      </c>
      <c r="B204" s="5" t="s">
        <v>537</v>
      </c>
      <c r="C204" s="5" t="s">
        <v>537</v>
      </c>
      <c r="D204" s="5" t="s">
        <v>538</v>
      </c>
      <c r="E204" s="5" t="s">
        <v>511</v>
      </c>
      <c r="F204" s="9">
        <f>IFERROR(INDEX(Station_Click_Areas!$F:$F,MATCH(B204,Station_Click_Areas!$B:$B,0)),"")</f>
        <v>3248</v>
      </c>
      <c r="G204" s="9">
        <f>IFERROR(INDEX(Station_Click_Areas!$G:$G,MATCH(B204,Station_Click_Areas!$B:$B,0)),"")</f>
        <v>1196</v>
      </c>
      <c r="H204" s="11">
        <f>IF(F204="","",F204/Config!$B$2*100)</f>
        <v>63.4375</v>
      </c>
      <c r="I204" s="11">
        <f>IF(G204="","",G204/Config!$B$3*100)</f>
        <v>41.527777777777779</v>
      </c>
      <c r="J204" s="5">
        <v>10.5</v>
      </c>
      <c r="K204" s="5" t="s">
        <v>932</v>
      </c>
      <c r="L204" s="5" t="s">
        <v>930</v>
      </c>
      <c r="M204" s="5">
        <v>0</v>
      </c>
      <c r="N204" s="5" t="s">
        <v>931</v>
      </c>
      <c r="O204" s="5"/>
    </row>
    <row r="205" spans="1:15" ht="15">
      <c r="A205" s="5" t="str">
        <f t="shared" si="3"/>
        <v>완료</v>
      </c>
      <c r="B205" s="5" t="s">
        <v>539</v>
      </c>
      <c r="C205" s="5" t="s">
        <v>539</v>
      </c>
      <c r="D205" s="5" t="s">
        <v>540</v>
      </c>
      <c r="E205" s="5" t="s">
        <v>511</v>
      </c>
      <c r="F205" s="9">
        <f>IFERROR(INDEX(Station_Click_Areas!$F:$F,MATCH(B205,Station_Click_Areas!$B:$B,0)),"")</f>
        <v>3078</v>
      </c>
      <c r="G205" s="9">
        <f>IFERROR(INDEX(Station_Click_Areas!$G:$G,MATCH(B205,Station_Click_Areas!$B:$B,0)),"")</f>
        <v>1364</v>
      </c>
      <c r="H205" s="11">
        <f>IF(F205="","",F205/Config!$B$2*100)</f>
        <v>60.1171875</v>
      </c>
      <c r="I205" s="11">
        <f>IF(G205="","",G205/Config!$B$3*100)</f>
        <v>47.361111111111107</v>
      </c>
      <c r="J205" s="5">
        <v>10.5</v>
      </c>
      <c r="K205" s="5" t="s">
        <v>932</v>
      </c>
      <c r="L205" s="5" t="s">
        <v>930</v>
      </c>
      <c r="M205" s="5">
        <v>0</v>
      </c>
      <c r="N205" s="5" t="s">
        <v>931</v>
      </c>
      <c r="O205" s="5"/>
    </row>
    <row r="206" spans="1:15" ht="15">
      <c r="A206" s="5" t="str">
        <f t="shared" si="3"/>
        <v>완료</v>
      </c>
      <c r="B206" s="5" t="s">
        <v>541</v>
      </c>
      <c r="C206" s="5" t="s">
        <v>541</v>
      </c>
      <c r="D206" s="5" t="s">
        <v>1031</v>
      </c>
      <c r="E206" s="5" t="s">
        <v>511</v>
      </c>
      <c r="F206" s="9">
        <f>IFERROR(INDEX(Station_Click_Areas!$F:$F,MATCH(B206,Station_Click_Areas!$B:$B,0)),"")</f>
        <v>2906</v>
      </c>
      <c r="G206" s="9">
        <f>IFERROR(INDEX(Station_Click_Areas!$G:$G,MATCH(B206,Station_Click_Areas!$B:$B,0)),"")</f>
        <v>1538</v>
      </c>
      <c r="H206" s="11">
        <f>IF(F206="","",F206/Config!$B$2*100)</f>
        <v>56.757812500000007</v>
      </c>
      <c r="I206" s="11">
        <f>IF(G206="","",G206/Config!$B$3*100)</f>
        <v>53.402777777777779</v>
      </c>
      <c r="J206" s="5">
        <v>10.5</v>
      </c>
      <c r="K206" s="5" t="s">
        <v>932</v>
      </c>
      <c r="L206" s="5" t="s">
        <v>930</v>
      </c>
      <c r="M206" s="5">
        <v>0</v>
      </c>
      <c r="N206" s="5" t="s">
        <v>931</v>
      </c>
      <c r="O206" s="5"/>
    </row>
    <row r="207" spans="1:15" ht="15">
      <c r="A207" s="5" t="str">
        <f t="shared" si="3"/>
        <v>완료</v>
      </c>
      <c r="B207" s="5" t="s">
        <v>542</v>
      </c>
      <c r="C207" s="5" t="s">
        <v>542</v>
      </c>
      <c r="D207" s="5" t="s">
        <v>543</v>
      </c>
      <c r="E207" s="5" t="s">
        <v>511</v>
      </c>
      <c r="F207" s="9">
        <f>IFERROR(INDEX(Station_Click_Areas!$F:$F,MATCH(B207,Station_Click_Areas!$B:$B,0)),"")</f>
        <v>2846</v>
      </c>
      <c r="G207" s="9">
        <f>IFERROR(INDEX(Station_Click_Areas!$G:$G,MATCH(B207,Station_Click_Areas!$B:$B,0)),"")</f>
        <v>1596</v>
      </c>
      <c r="H207" s="11">
        <f>IF(F207="","",F207/Config!$B$2*100)</f>
        <v>55.585937500000007</v>
      </c>
      <c r="I207" s="11">
        <f>IF(G207="","",G207/Config!$B$3*100)</f>
        <v>55.416666666666671</v>
      </c>
      <c r="J207" s="5">
        <v>10.5</v>
      </c>
      <c r="K207" s="5" t="s">
        <v>932</v>
      </c>
      <c r="L207" s="5" t="s">
        <v>930</v>
      </c>
      <c r="M207" s="5">
        <v>0</v>
      </c>
      <c r="N207" s="5" t="s">
        <v>931</v>
      </c>
      <c r="O207" s="5"/>
    </row>
    <row r="208" spans="1:15" ht="15">
      <c r="A208" s="5" t="str">
        <f t="shared" si="3"/>
        <v>완료</v>
      </c>
      <c r="B208" s="5" t="s">
        <v>544</v>
      </c>
      <c r="C208" s="5" t="s">
        <v>544</v>
      </c>
      <c r="D208" s="5" t="s">
        <v>545</v>
      </c>
      <c r="E208" s="5" t="s">
        <v>511</v>
      </c>
      <c r="F208" s="9">
        <f>IFERROR(INDEX(Station_Click_Areas!$F:$F,MATCH(B208,Station_Click_Areas!$B:$B,0)),"")</f>
        <v>2776</v>
      </c>
      <c r="G208" s="9">
        <f>IFERROR(INDEX(Station_Click_Areas!$G:$G,MATCH(B208,Station_Click_Areas!$B:$B,0)),"")</f>
        <v>1668</v>
      </c>
      <c r="H208" s="11">
        <f>IF(F208="","",F208/Config!$B$2*100)</f>
        <v>54.218750000000007</v>
      </c>
      <c r="I208" s="11">
        <f>IF(G208="","",G208/Config!$B$3*100)</f>
        <v>57.916666666666671</v>
      </c>
      <c r="J208" s="5">
        <v>10.5</v>
      </c>
      <c r="K208" s="5" t="s">
        <v>932</v>
      </c>
      <c r="L208" s="5" t="s">
        <v>930</v>
      </c>
      <c r="M208" s="5">
        <v>0</v>
      </c>
      <c r="N208" s="5" t="s">
        <v>931</v>
      </c>
      <c r="O208" s="5"/>
    </row>
    <row r="209" spans="1:15" ht="15">
      <c r="A209" s="5" t="str">
        <f t="shared" si="3"/>
        <v>완료</v>
      </c>
      <c r="B209" s="5" t="s">
        <v>546</v>
      </c>
      <c r="C209" s="5" t="s">
        <v>546</v>
      </c>
      <c r="D209" s="5" t="s">
        <v>547</v>
      </c>
      <c r="E209" s="5" t="s">
        <v>511</v>
      </c>
      <c r="F209" s="9">
        <f>IFERROR(INDEX(Station_Click_Areas!$F:$F,MATCH(B209,Station_Click_Areas!$B:$B,0)),"")</f>
        <v>2696</v>
      </c>
      <c r="G209" s="9">
        <f>IFERROR(INDEX(Station_Click_Areas!$G:$G,MATCH(B209,Station_Click_Areas!$B:$B,0)),"")</f>
        <v>1748</v>
      </c>
      <c r="H209" s="11">
        <f>IF(F209="","",F209/Config!$B$2*100)</f>
        <v>52.656250000000007</v>
      </c>
      <c r="I209" s="11">
        <f>IF(G209="","",G209/Config!$B$3*100)</f>
        <v>60.694444444444443</v>
      </c>
      <c r="J209" s="5">
        <v>10.5</v>
      </c>
      <c r="K209" s="5" t="s">
        <v>932</v>
      </c>
      <c r="L209" s="5" t="s">
        <v>930</v>
      </c>
      <c r="M209" s="5">
        <v>0</v>
      </c>
      <c r="N209" s="5" t="s">
        <v>931</v>
      </c>
      <c r="O209" s="5"/>
    </row>
    <row r="210" spans="1:15" ht="15">
      <c r="A210" s="5" t="str">
        <f t="shared" si="3"/>
        <v>완료</v>
      </c>
      <c r="B210" s="5" t="s">
        <v>548</v>
      </c>
      <c r="C210" s="5" t="s">
        <v>548</v>
      </c>
      <c r="D210" s="5" t="s">
        <v>549</v>
      </c>
      <c r="E210" s="5" t="s">
        <v>511</v>
      </c>
      <c r="F210" s="9">
        <f>IFERROR(INDEX(Station_Click_Areas!$F:$F,MATCH(B210,Station_Click_Areas!$B:$B,0)),"")</f>
        <v>2618</v>
      </c>
      <c r="G210" s="9">
        <f>IFERROR(INDEX(Station_Click_Areas!$G:$G,MATCH(B210,Station_Click_Areas!$B:$B,0)),"")</f>
        <v>1826</v>
      </c>
      <c r="H210" s="11">
        <f>IF(F210="","",F210/Config!$B$2*100)</f>
        <v>51.1328125</v>
      </c>
      <c r="I210" s="11">
        <f>IF(G210="","",G210/Config!$B$3*100)</f>
        <v>63.402777777777771</v>
      </c>
      <c r="J210" s="5">
        <v>10.5</v>
      </c>
      <c r="K210" s="5" t="s">
        <v>932</v>
      </c>
      <c r="L210" s="5" t="s">
        <v>930</v>
      </c>
      <c r="M210" s="5">
        <v>0</v>
      </c>
      <c r="N210" s="5" t="s">
        <v>931</v>
      </c>
      <c r="O210" s="5"/>
    </row>
    <row r="211" spans="1:15" ht="15">
      <c r="A211" s="5" t="str">
        <f t="shared" si="3"/>
        <v>완료</v>
      </c>
      <c r="B211" s="5" t="s">
        <v>550</v>
      </c>
      <c r="C211" s="5" t="s">
        <v>550</v>
      </c>
      <c r="D211" s="5" t="s">
        <v>551</v>
      </c>
      <c r="E211" s="5" t="s">
        <v>511</v>
      </c>
      <c r="F211" s="9">
        <f>IFERROR(INDEX(Station_Click_Areas!$F:$F,MATCH(B211,Station_Click_Areas!$B:$B,0)),"")</f>
        <v>2554</v>
      </c>
      <c r="G211" s="9">
        <f>IFERROR(INDEX(Station_Click_Areas!$G:$G,MATCH(B211,Station_Click_Areas!$B:$B,0)),"")</f>
        <v>1892</v>
      </c>
      <c r="H211" s="11">
        <f>IF(F211="","",F211/Config!$B$2*100)</f>
        <v>49.8828125</v>
      </c>
      <c r="I211" s="11">
        <f>IF(G211="","",G211/Config!$B$3*100)</f>
        <v>65.694444444444443</v>
      </c>
      <c r="J211" s="5">
        <v>10.5</v>
      </c>
      <c r="K211" s="5" t="s">
        <v>932</v>
      </c>
      <c r="L211" s="5" t="s">
        <v>930</v>
      </c>
      <c r="M211" s="5">
        <v>0</v>
      </c>
      <c r="N211" s="5" t="s">
        <v>931</v>
      </c>
      <c r="O211" s="5"/>
    </row>
    <row r="212" spans="1:15" ht="15">
      <c r="A212" s="5" t="str">
        <f t="shared" si="3"/>
        <v>완료</v>
      </c>
      <c r="B212" s="5" t="s">
        <v>552</v>
      </c>
      <c r="C212" s="5" t="s">
        <v>552</v>
      </c>
      <c r="D212" s="5" t="s">
        <v>553</v>
      </c>
      <c r="E212" s="5" t="s">
        <v>511</v>
      </c>
      <c r="F212" s="9">
        <f>IFERROR(INDEX(Station_Click_Areas!$F:$F,MATCH(B212,Station_Click_Areas!$B:$B,0)),"")</f>
        <v>2340</v>
      </c>
      <c r="G212" s="9">
        <f>IFERROR(INDEX(Station_Click_Areas!$G:$G,MATCH(B212,Station_Click_Areas!$B:$B,0)),"")</f>
        <v>1964</v>
      </c>
      <c r="H212" s="11">
        <f>IF(F212="","",F212/Config!$B$2*100)</f>
        <v>45.703125</v>
      </c>
      <c r="I212" s="11">
        <f>IF(G212="","",G212/Config!$B$3*100)</f>
        <v>68.194444444444443</v>
      </c>
      <c r="J212" s="5">
        <v>10.5</v>
      </c>
      <c r="K212" s="5" t="s">
        <v>932</v>
      </c>
      <c r="L212" s="5" t="s">
        <v>930</v>
      </c>
      <c r="M212" s="5">
        <v>0</v>
      </c>
      <c r="N212" s="5" t="s">
        <v>931</v>
      </c>
      <c r="O212" s="5"/>
    </row>
    <row r="213" spans="1:15" ht="15">
      <c r="A213" s="5" t="str">
        <f t="shared" si="3"/>
        <v>완료</v>
      </c>
      <c r="B213" s="5" t="s">
        <v>554</v>
      </c>
      <c r="C213" s="5" t="s">
        <v>554</v>
      </c>
      <c r="D213" s="5" t="s">
        <v>555</v>
      </c>
      <c r="E213" s="5" t="s">
        <v>511</v>
      </c>
      <c r="F213" s="9">
        <f>IFERROR(INDEX(Station_Click_Areas!$F:$F,MATCH(B213,Station_Click_Areas!$B:$B,0)),"")</f>
        <v>2096</v>
      </c>
      <c r="G213" s="9">
        <f>IFERROR(INDEX(Station_Click_Areas!$G:$G,MATCH(B213,Station_Click_Areas!$B:$B,0)),"")</f>
        <v>1964</v>
      </c>
      <c r="H213" s="11">
        <f>IF(F213="","",F213/Config!$B$2*100)</f>
        <v>40.9375</v>
      </c>
      <c r="I213" s="11">
        <f>IF(G213="","",G213/Config!$B$3*100)</f>
        <v>68.194444444444443</v>
      </c>
      <c r="J213" s="5">
        <v>10.5</v>
      </c>
      <c r="K213" s="5" t="s">
        <v>932</v>
      </c>
      <c r="L213" s="5" t="s">
        <v>930</v>
      </c>
      <c r="M213" s="5">
        <v>0</v>
      </c>
      <c r="N213" s="5" t="s">
        <v>931</v>
      </c>
      <c r="O213" s="5"/>
    </row>
    <row r="214" spans="1:15" ht="15">
      <c r="A214" s="5" t="str">
        <f t="shared" si="3"/>
        <v>완료</v>
      </c>
      <c r="B214" s="5" t="s">
        <v>556</v>
      </c>
      <c r="C214" s="5" t="s">
        <v>556</v>
      </c>
      <c r="D214" s="5" t="s">
        <v>557</v>
      </c>
      <c r="E214" s="5" t="s">
        <v>511</v>
      </c>
      <c r="F214" s="9">
        <f>IFERROR(INDEX(Station_Click_Areas!$F:$F,MATCH(B214,Station_Click_Areas!$B:$B,0)),"")</f>
        <v>2000</v>
      </c>
      <c r="G214" s="9">
        <f>IFERROR(INDEX(Station_Click_Areas!$G:$G,MATCH(B214,Station_Click_Areas!$B:$B,0)),"")</f>
        <v>1964</v>
      </c>
      <c r="H214" s="11">
        <f>IF(F214="","",F214/Config!$B$2*100)</f>
        <v>39.0625</v>
      </c>
      <c r="I214" s="11">
        <f>IF(G214="","",G214/Config!$B$3*100)</f>
        <v>68.194444444444443</v>
      </c>
      <c r="J214" s="5">
        <v>10.5</v>
      </c>
      <c r="K214" s="5" t="s">
        <v>932</v>
      </c>
      <c r="L214" s="5" t="s">
        <v>930</v>
      </c>
      <c r="M214" s="5">
        <v>0</v>
      </c>
      <c r="N214" s="5" t="s">
        <v>931</v>
      </c>
      <c r="O214" s="5"/>
    </row>
    <row r="215" spans="1:15" ht="15">
      <c r="A215" s="5" t="str">
        <f t="shared" si="3"/>
        <v>완료</v>
      </c>
      <c r="B215" s="5" t="s">
        <v>558</v>
      </c>
      <c r="C215" s="5" t="s">
        <v>558</v>
      </c>
      <c r="D215" s="5" t="s">
        <v>559</v>
      </c>
      <c r="E215" s="5" t="s">
        <v>511</v>
      </c>
      <c r="F215" s="9">
        <f>IFERROR(INDEX(Station_Click_Areas!$F:$F,MATCH(B215,Station_Click_Areas!$B:$B,0)),"")</f>
        <v>1904</v>
      </c>
      <c r="G215" s="9">
        <f>IFERROR(INDEX(Station_Click_Areas!$G:$G,MATCH(B215,Station_Click_Areas!$B:$B,0)),"")</f>
        <v>1964</v>
      </c>
      <c r="H215" s="11">
        <f>IF(F215="","",F215/Config!$B$2*100)</f>
        <v>37.1875</v>
      </c>
      <c r="I215" s="11">
        <f>IF(G215="","",G215/Config!$B$3*100)</f>
        <v>68.194444444444443</v>
      </c>
      <c r="J215" s="5">
        <v>10.5</v>
      </c>
      <c r="K215" s="5" t="s">
        <v>932</v>
      </c>
      <c r="L215" s="5" t="s">
        <v>930</v>
      </c>
      <c r="M215" s="5">
        <v>0</v>
      </c>
      <c r="N215" s="5" t="s">
        <v>931</v>
      </c>
      <c r="O215" s="5"/>
    </row>
    <row r="216" spans="1:15" ht="15">
      <c r="A216" s="5" t="str">
        <f t="shared" si="3"/>
        <v>완료</v>
      </c>
      <c r="B216" s="5" t="s">
        <v>560</v>
      </c>
      <c r="C216" s="5" t="s">
        <v>560</v>
      </c>
      <c r="D216" s="5" t="s">
        <v>561</v>
      </c>
      <c r="E216" s="5" t="s">
        <v>511</v>
      </c>
      <c r="F216" s="9">
        <f>IFERROR(INDEX(Station_Click_Areas!$F:$F,MATCH(B216,Station_Click_Areas!$B:$B,0)),"")</f>
        <v>1808</v>
      </c>
      <c r="G216" s="9">
        <f>IFERROR(INDEX(Station_Click_Areas!$G:$G,MATCH(B216,Station_Click_Areas!$B:$B,0)),"")</f>
        <v>1964</v>
      </c>
      <c r="H216" s="11">
        <f>IF(F216="","",F216/Config!$B$2*100)</f>
        <v>35.3125</v>
      </c>
      <c r="I216" s="11">
        <f>IF(G216="","",G216/Config!$B$3*100)</f>
        <v>68.194444444444443</v>
      </c>
      <c r="J216" s="5">
        <v>10.5</v>
      </c>
      <c r="K216" s="5" t="s">
        <v>932</v>
      </c>
      <c r="L216" s="5" t="s">
        <v>930</v>
      </c>
      <c r="M216" s="5">
        <v>0</v>
      </c>
      <c r="N216" s="5" t="s">
        <v>931</v>
      </c>
      <c r="O216" s="5"/>
    </row>
    <row r="217" spans="1:15" ht="15">
      <c r="A217" s="5" t="str">
        <f t="shared" si="3"/>
        <v>완료</v>
      </c>
      <c r="B217" s="5" t="s">
        <v>562</v>
      </c>
      <c r="C217" s="5" t="s">
        <v>562</v>
      </c>
      <c r="D217" s="5" t="s">
        <v>563</v>
      </c>
      <c r="E217" s="5" t="s">
        <v>511</v>
      </c>
      <c r="F217" s="9">
        <f>IFERROR(INDEX(Station_Click_Areas!$F:$F,MATCH(B217,Station_Click_Areas!$B:$B,0)),"")</f>
        <v>1712</v>
      </c>
      <c r="G217" s="9">
        <f>IFERROR(INDEX(Station_Click_Areas!$G:$G,MATCH(B217,Station_Click_Areas!$B:$B,0)),"")</f>
        <v>1964</v>
      </c>
      <c r="H217" s="11">
        <f>IF(F217="","",F217/Config!$B$2*100)</f>
        <v>33.4375</v>
      </c>
      <c r="I217" s="11">
        <f>IF(G217="","",G217/Config!$B$3*100)</f>
        <v>68.194444444444443</v>
      </c>
      <c r="J217" s="5">
        <v>10.5</v>
      </c>
      <c r="K217" s="5" t="s">
        <v>932</v>
      </c>
      <c r="L217" s="5" t="s">
        <v>930</v>
      </c>
      <c r="M217" s="5">
        <v>0</v>
      </c>
      <c r="N217" s="5" t="s">
        <v>931</v>
      </c>
      <c r="O217" s="5"/>
    </row>
    <row r="218" spans="1:15" ht="15">
      <c r="A218" s="5" t="str">
        <f t="shared" si="3"/>
        <v>완료</v>
      </c>
      <c r="B218" s="5" t="s">
        <v>564</v>
      </c>
      <c r="C218" s="5" t="s">
        <v>564</v>
      </c>
      <c r="D218" s="5" t="s">
        <v>565</v>
      </c>
      <c r="E218" s="5" t="s">
        <v>511</v>
      </c>
      <c r="F218" s="9">
        <f>IFERROR(INDEX(Station_Click_Areas!$F:$F,MATCH(B218,Station_Click_Areas!$B:$B,0)),"")</f>
        <v>1616</v>
      </c>
      <c r="G218" s="9">
        <f>IFERROR(INDEX(Station_Click_Areas!$G:$G,MATCH(B218,Station_Click_Areas!$B:$B,0)),"")</f>
        <v>1964</v>
      </c>
      <c r="H218" s="11">
        <f>IF(F218="","",F218/Config!$B$2*100)</f>
        <v>31.5625</v>
      </c>
      <c r="I218" s="11">
        <f>IF(G218="","",G218/Config!$B$3*100)</f>
        <v>68.194444444444443</v>
      </c>
      <c r="J218" s="5">
        <v>10.5</v>
      </c>
      <c r="K218" s="5" t="s">
        <v>932</v>
      </c>
      <c r="L218" s="5" t="s">
        <v>930</v>
      </c>
      <c r="M218" s="5">
        <v>0</v>
      </c>
      <c r="N218" s="5" t="s">
        <v>931</v>
      </c>
      <c r="O218" s="5"/>
    </row>
    <row r="219" spans="1:15" ht="15">
      <c r="A219" s="5" t="str">
        <f t="shared" si="3"/>
        <v>완료</v>
      </c>
      <c r="B219" s="5" t="s">
        <v>566</v>
      </c>
      <c r="C219" s="5" t="s">
        <v>566</v>
      </c>
      <c r="D219" s="5" t="s">
        <v>567</v>
      </c>
      <c r="E219" s="5" t="s">
        <v>511</v>
      </c>
      <c r="F219" s="9">
        <f>IFERROR(INDEX(Station_Click_Areas!$F:$F,MATCH(B219,Station_Click_Areas!$B:$B,0)),"")</f>
        <v>1520</v>
      </c>
      <c r="G219" s="9">
        <f>IFERROR(INDEX(Station_Click_Areas!$G:$G,MATCH(B219,Station_Click_Areas!$B:$B,0)),"")</f>
        <v>1964</v>
      </c>
      <c r="H219" s="11">
        <f>IF(F219="","",F219/Config!$B$2*100)</f>
        <v>29.6875</v>
      </c>
      <c r="I219" s="11">
        <f>IF(G219="","",G219/Config!$B$3*100)</f>
        <v>68.194444444444443</v>
      </c>
      <c r="J219" s="5">
        <v>10.5</v>
      </c>
      <c r="K219" s="5" t="s">
        <v>932</v>
      </c>
      <c r="L219" s="5" t="s">
        <v>930</v>
      </c>
      <c r="M219" s="5">
        <v>0</v>
      </c>
      <c r="N219" s="5" t="s">
        <v>931</v>
      </c>
      <c r="O219" s="5"/>
    </row>
    <row r="220" spans="1:15" ht="15">
      <c r="A220" s="5" t="str">
        <f t="shared" si="3"/>
        <v>완료</v>
      </c>
      <c r="B220" s="5" t="s">
        <v>568</v>
      </c>
      <c r="C220" s="5" t="s">
        <v>568</v>
      </c>
      <c r="D220" s="5" t="s">
        <v>569</v>
      </c>
      <c r="E220" s="5" t="s">
        <v>511</v>
      </c>
      <c r="F220" s="9">
        <f>IFERROR(INDEX(Station_Click_Areas!$F:$F,MATCH(B220,Station_Click_Areas!$B:$B,0)),"")</f>
        <v>1340</v>
      </c>
      <c r="G220" s="9">
        <f>IFERROR(INDEX(Station_Click_Areas!$G:$G,MATCH(B220,Station_Click_Areas!$B:$B,0)),"")</f>
        <v>1964</v>
      </c>
      <c r="H220" s="11">
        <f>IF(F220="","",F220/Config!$B$2*100)</f>
        <v>26.171875</v>
      </c>
      <c r="I220" s="11">
        <f>IF(G220="","",G220/Config!$B$3*100)</f>
        <v>68.194444444444443</v>
      </c>
      <c r="J220" s="5">
        <v>10.5</v>
      </c>
      <c r="K220" s="5" t="s">
        <v>932</v>
      </c>
      <c r="L220" s="5" t="s">
        <v>930</v>
      </c>
      <c r="M220" s="5">
        <v>0</v>
      </c>
      <c r="N220" s="5" t="s">
        <v>931</v>
      </c>
      <c r="O220" s="5"/>
    </row>
    <row r="221" spans="1:15" ht="15">
      <c r="A221" s="5" t="str">
        <f t="shared" si="3"/>
        <v>완료</v>
      </c>
      <c r="B221" s="5" t="s">
        <v>570</v>
      </c>
      <c r="C221" s="5" t="s">
        <v>570</v>
      </c>
      <c r="D221" s="5" t="s">
        <v>571</v>
      </c>
      <c r="E221" s="5" t="s">
        <v>511</v>
      </c>
      <c r="F221" s="9">
        <f>IFERROR(INDEX(Station_Click_Areas!$F:$F,MATCH(B221,Station_Click_Areas!$B:$B,0)),"")</f>
        <v>1260</v>
      </c>
      <c r="G221" s="9">
        <f>IFERROR(INDEX(Station_Click_Areas!$G:$G,MATCH(B221,Station_Click_Areas!$B:$B,0)),"")</f>
        <v>1964</v>
      </c>
      <c r="H221" s="11">
        <f>IF(F221="","",F221/Config!$B$2*100)</f>
        <v>24.609375</v>
      </c>
      <c r="I221" s="11">
        <f>IF(G221="","",G221/Config!$B$3*100)</f>
        <v>68.194444444444443</v>
      </c>
      <c r="J221" s="5">
        <v>10.5</v>
      </c>
      <c r="K221" s="5" t="s">
        <v>932</v>
      </c>
      <c r="L221" s="5" t="s">
        <v>930</v>
      </c>
      <c r="M221" s="5">
        <v>0</v>
      </c>
      <c r="N221" s="5" t="s">
        <v>931</v>
      </c>
      <c r="O221" s="5"/>
    </row>
    <row r="222" spans="1:15" ht="15">
      <c r="A222" s="5" t="str">
        <f t="shared" si="3"/>
        <v>완료</v>
      </c>
      <c r="B222" s="5" t="s">
        <v>572</v>
      </c>
      <c r="C222" s="5" t="s">
        <v>572</v>
      </c>
      <c r="D222" s="5" t="s">
        <v>573</v>
      </c>
      <c r="E222" s="5" t="s">
        <v>511</v>
      </c>
      <c r="F222" s="9">
        <f>IFERROR(INDEX(Station_Click_Areas!$F:$F,MATCH(B222,Station_Click_Areas!$B:$B,0)),"")</f>
        <v>1172</v>
      </c>
      <c r="G222" s="9">
        <f>IFERROR(INDEX(Station_Click_Areas!$G:$G,MATCH(B222,Station_Click_Areas!$B:$B,0)),"")</f>
        <v>1964</v>
      </c>
      <c r="H222" s="11">
        <f>IF(F222="","",F222/Config!$B$2*100)</f>
        <v>22.890625</v>
      </c>
      <c r="I222" s="11">
        <f>IF(G222="","",G222/Config!$B$3*100)</f>
        <v>68.194444444444443</v>
      </c>
      <c r="J222" s="5">
        <v>10.5</v>
      </c>
      <c r="K222" s="5" t="s">
        <v>932</v>
      </c>
      <c r="L222" s="5" t="s">
        <v>930</v>
      </c>
      <c r="M222" s="5">
        <v>0</v>
      </c>
      <c r="N222" s="5" t="s">
        <v>931</v>
      </c>
      <c r="O222" s="5"/>
    </row>
    <row r="223" spans="1:15" ht="15">
      <c r="A223" s="5" t="str">
        <f t="shared" si="3"/>
        <v>완료</v>
      </c>
      <c r="B223" s="5" t="s">
        <v>574</v>
      </c>
      <c r="C223" s="5" t="s">
        <v>574</v>
      </c>
      <c r="D223" s="5" t="s">
        <v>575</v>
      </c>
      <c r="E223" s="5" t="s">
        <v>511</v>
      </c>
      <c r="F223" s="9">
        <f>IFERROR(INDEX(Station_Click_Areas!$F:$F,MATCH(B223,Station_Click_Areas!$B:$B,0)),"")</f>
        <v>1084</v>
      </c>
      <c r="G223" s="9">
        <f>IFERROR(INDEX(Station_Click_Areas!$G:$G,MATCH(B223,Station_Click_Areas!$B:$B,0)),"")</f>
        <v>1964</v>
      </c>
      <c r="H223" s="11">
        <f>IF(F223="","",F223/Config!$B$2*100)</f>
        <v>21.171875</v>
      </c>
      <c r="I223" s="11">
        <f>IF(G223="","",G223/Config!$B$3*100)</f>
        <v>68.194444444444443</v>
      </c>
      <c r="J223" s="5">
        <v>10.5</v>
      </c>
      <c r="K223" s="5" t="s">
        <v>932</v>
      </c>
      <c r="L223" s="5" t="s">
        <v>930</v>
      </c>
      <c r="M223" s="5">
        <v>0</v>
      </c>
      <c r="N223" s="5" t="s">
        <v>931</v>
      </c>
      <c r="O223" s="5"/>
    </row>
    <row r="224" spans="1:15" ht="15">
      <c r="A224" s="5" t="str">
        <f t="shared" si="3"/>
        <v>완료</v>
      </c>
      <c r="B224" s="5" t="s">
        <v>576</v>
      </c>
      <c r="C224" s="5" t="s">
        <v>576</v>
      </c>
      <c r="D224" s="5" t="s">
        <v>577</v>
      </c>
      <c r="E224" s="5" t="s">
        <v>511</v>
      </c>
      <c r="F224" s="9">
        <f>IFERROR(INDEX(Station_Click_Areas!$F:$F,MATCH(B224,Station_Click_Areas!$B:$B,0)),"")</f>
        <v>996</v>
      </c>
      <c r="G224" s="9">
        <f>IFERROR(INDEX(Station_Click_Areas!$G:$G,MATCH(B224,Station_Click_Areas!$B:$B,0)),"")</f>
        <v>1964</v>
      </c>
      <c r="H224" s="11">
        <f>IF(F224="","",F224/Config!$B$2*100)</f>
        <v>19.453125</v>
      </c>
      <c r="I224" s="11">
        <f>IF(G224="","",G224/Config!$B$3*100)</f>
        <v>68.194444444444443</v>
      </c>
      <c r="J224" s="5">
        <v>10.5</v>
      </c>
      <c r="K224" s="5" t="s">
        <v>932</v>
      </c>
      <c r="L224" s="5" t="s">
        <v>930</v>
      </c>
      <c r="M224" s="5">
        <v>0</v>
      </c>
      <c r="N224" s="5" t="s">
        <v>931</v>
      </c>
      <c r="O224" s="5"/>
    </row>
    <row r="225" spans="1:15" ht="15">
      <c r="A225" s="5" t="str">
        <f t="shared" si="3"/>
        <v>완료</v>
      </c>
      <c r="B225" s="5" t="s">
        <v>578</v>
      </c>
      <c r="C225" s="5" t="s">
        <v>578</v>
      </c>
      <c r="D225" s="5" t="s">
        <v>579</v>
      </c>
      <c r="E225" s="5" t="s">
        <v>511</v>
      </c>
      <c r="F225" s="9">
        <f>IFERROR(INDEX(Station_Click_Areas!$F:$F,MATCH(B225,Station_Click_Areas!$B:$B,0)),"")</f>
        <v>996</v>
      </c>
      <c r="G225" s="9">
        <f>IFERROR(INDEX(Station_Click_Areas!$G:$G,MATCH(B225,Station_Click_Areas!$B:$B,0)),"")</f>
        <v>1820</v>
      </c>
      <c r="H225" s="11">
        <f>IF(F225="","",F225/Config!$B$2*100)</f>
        <v>19.453125</v>
      </c>
      <c r="I225" s="11">
        <f>IF(G225="","",G225/Config!$B$3*100)</f>
        <v>63.194444444444443</v>
      </c>
      <c r="J225" s="5">
        <v>10.5</v>
      </c>
      <c r="K225" s="5" t="s">
        <v>932</v>
      </c>
      <c r="L225" s="5" t="s">
        <v>930</v>
      </c>
      <c r="M225" s="5">
        <v>0</v>
      </c>
      <c r="N225" s="5" t="s">
        <v>931</v>
      </c>
      <c r="O225" s="5"/>
    </row>
    <row r="226" spans="1:15" ht="15">
      <c r="A226" s="5" t="str">
        <f t="shared" si="3"/>
        <v>완료</v>
      </c>
      <c r="B226" s="5" t="s">
        <v>580</v>
      </c>
      <c r="C226" s="5" t="s">
        <v>580</v>
      </c>
      <c r="D226" s="5" t="s">
        <v>581</v>
      </c>
      <c r="E226" s="5" t="s">
        <v>582</v>
      </c>
      <c r="F226" s="9">
        <f>IFERROR(INDEX(Station_Click_Areas!$F:$F,MATCH(B226,Station_Click_Areas!$B:$B,0)),"")</f>
        <v>3556</v>
      </c>
      <c r="G226" s="9">
        <f>IFERROR(INDEX(Station_Click_Areas!$G:$G,MATCH(B226,Station_Click_Areas!$B:$B,0)),"")</f>
        <v>1636</v>
      </c>
      <c r="H226" s="11">
        <f>IF(F226="","",F226/Config!$B$2*100)</f>
        <v>69.453125</v>
      </c>
      <c r="I226" s="11">
        <f>IF(G226="","",G226/Config!$B$3*100)</f>
        <v>56.805555555555557</v>
      </c>
      <c r="J226" s="5">
        <v>10.5</v>
      </c>
      <c r="K226" s="5" t="s">
        <v>932</v>
      </c>
      <c r="L226" s="5" t="s">
        <v>930</v>
      </c>
      <c r="M226" s="5">
        <v>0</v>
      </c>
      <c r="N226" s="5" t="s">
        <v>931</v>
      </c>
      <c r="O226" s="5"/>
    </row>
    <row r="227" spans="1:15" ht="15">
      <c r="A227" s="5" t="str">
        <f t="shared" si="3"/>
        <v>완료</v>
      </c>
      <c r="B227" s="5" t="s">
        <v>584</v>
      </c>
      <c r="C227" s="5" t="s">
        <v>584</v>
      </c>
      <c r="D227" s="5" t="s">
        <v>585</v>
      </c>
      <c r="E227" s="5" t="s">
        <v>582</v>
      </c>
      <c r="F227" s="9">
        <f>IFERROR(INDEX(Station_Click_Areas!$F:$F,MATCH(B227,Station_Click_Areas!$B:$B,0)),"")</f>
        <v>3464</v>
      </c>
      <c r="G227" s="9">
        <f>IFERROR(INDEX(Station_Click_Areas!$G:$G,MATCH(B227,Station_Click_Areas!$B:$B,0)),"")</f>
        <v>1636</v>
      </c>
      <c r="H227" s="11">
        <f>IF(F227="","",F227/Config!$B$2*100)</f>
        <v>67.65625</v>
      </c>
      <c r="I227" s="11">
        <f>IF(G227="","",G227/Config!$B$3*100)</f>
        <v>56.805555555555557</v>
      </c>
      <c r="J227" s="5">
        <v>10.5</v>
      </c>
      <c r="K227" s="5" t="s">
        <v>932</v>
      </c>
      <c r="L227" s="5" t="s">
        <v>930</v>
      </c>
      <c r="M227" s="5">
        <v>0</v>
      </c>
      <c r="N227" s="5" t="s">
        <v>931</v>
      </c>
      <c r="O227" s="5"/>
    </row>
    <row r="228" spans="1:15" ht="15">
      <c r="A228" s="5" t="str">
        <f t="shared" si="3"/>
        <v>완료</v>
      </c>
      <c r="B228" s="5" t="s">
        <v>586</v>
      </c>
      <c r="C228" s="5" t="s">
        <v>586</v>
      </c>
      <c r="D228" s="5" t="s">
        <v>587</v>
      </c>
      <c r="E228" s="5" t="s">
        <v>582</v>
      </c>
      <c r="F228" s="9">
        <f>IFERROR(INDEX(Station_Click_Areas!$F:$F,MATCH(B228,Station_Click_Areas!$B:$B,0)),"")</f>
        <v>3240</v>
      </c>
      <c r="G228" s="9">
        <f>IFERROR(INDEX(Station_Click_Areas!$G:$G,MATCH(B228,Station_Click_Areas!$B:$B,0)),"")</f>
        <v>1636</v>
      </c>
      <c r="H228" s="11">
        <f>IF(F228="","",F228/Config!$B$2*100)</f>
        <v>63.28125</v>
      </c>
      <c r="I228" s="11">
        <f>IF(G228="","",G228/Config!$B$3*100)</f>
        <v>56.805555555555557</v>
      </c>
      <c r="J228" s="5">
        <v>10.5</v>
      </c>
      <c r="K228" s="5" t="s">
        <v>932</v>
      </c>
      <c r="L228" s="5" t="s">
        <v>930</v>
      </c>
      <c r="M228" s="5">
        <v>0</v>
      </c>
      <c r="N228" s="5" t="s">
        <v>931</v>
      </c>
      <c r="O228" s="5"/>
    </row>
    <row r="229" spans="1:15" ht="15">
      <c r="A229" s="5" t="str">
        <f t="shared" si="3"/>
        <v>완료</v>
      </c>
      <c r="B229" s="5" t="s">
        <v>588</v>
      </c>
      <c r="C229" s="5" t="s">
        <v>588</v>
      </c>
      <c r="D229" s="5" t="s">
        <v>589</v>
      </c>
      <c r="E229" s="5" t="s">
        <v>582</v>
      </c>
      <c r="F229" s="9">
        <f>IFERROR(INDEX(Station_Click_Areas!$F:$F,MATCH(B229,Station_Click_Areas!$B:$B,0)),"")</f>
        <v>3140</v>
      </c>
      <c r="G229" s="9">
        <f>IFERROR(INDEX(Station_Click_Areas!$G:$G,MATCH(B229,Station_Click_Areas!$B:$B,0)),"")</f>
        <v>1636</v>
      </c>
      <c r="H229" s="11">
        <f>IF(F229="","",F229/Config!$B$2*100)</f>
        <v>61.328125</v>
      </c>
      <c r="I229" s="11">
        <f>IF(G229="","",G229/Config!$B$3*100)</f>
        <v>56.805555555555557</v>
      </c>
      <c r="J229" s="5">
        <v>10.5</v>
      </c>
      <c r="K229" s="5" t="s">
        <v>932</v>
      </c>
      <c r="L229" s="5" t="s">
        <v>930</v>
      </c>
      <c r="M229" s="5">
        <v>0</v>
      </c>
      <c r="N229" s="5" t="s">
        <v>931</v>
      </c>
      <c r="O229" s="5"/>
    </row>
    <row r="230" spans="1:15" ht="15">
      <c r="A230" s="5" t="str">
        <f t="shared" si="3"/>
        <v>완료</v>
      </c>
      <c r="B230" s="5" t="s">
        <v>590</v>
      </c>
      <c r="C230" s="5" t="s">
        <v>590</v>
      </c>
      <c r="D230" s="5" t="s">
        <v>591</v>
      </c>
      <c r="E230" s="5" t="s">
        <v>582</v>
      </c>
      <c r="F230" s="9">
        <f>IFERROR(INDEX(Station_Click_Areas!$F:$F,MATCH(B230,Station_Click_Areas!$B:$B,0)),"")</f>
        <v>3130</v>
      </c>
      <c r="G230" s="9">
        <f>IFERROR(INDEX(Station_Click_Areas!$G:$G,MATCH(B230,Station_Click_Areas!$B:$B,0)),"")</f>
        <v>1964</v>
      </c>
      <c r="H230" s="11">
        <f>IF(F230="","",F230/Config!$B$2*100)</f>
        <v>61.1328125</v>
      </c>
      <c r="I230" s="11">
        <f>IF(G230="","",G230/Config!$B$3*100)</f>
        <v>68.194444444444443</v>
      </c>
      <c r="J230" s="5">
        <v>10.5</v>
      </c>
      <c r="K230" s="5" t="s">
        <v>932</v>
      </c>
      <c r="L230" s="5" t="s">
        <v>930</v>
      </c>
      <c r="M230" s="5">
        <v>0</v>
      </c>
      <c r="N230" s="5" t="s">
        <v>931</v>
      </c>
      <c r="O230" s="5"/>
    </row>
    <row r="231" spans="1:15" ht="15">
      <c r="A231" s="5" t="str">
        <f t="shared" si="3"/>
        <v>완료</v>
      </c>
      <c r="B231" s="5" t="s">
        <v>592</v>
      </c>
      <c r="C231" s="5" t="s">
        <v>592</v>
      </c>
      <c r="D231" s="5" t="s">
        <v>593</v>
      </c>
      <c r="E231" s="5" t="s">
        <v>582</v>
      </c>
      <c r="F231" s="9">
        <f>IFERROR(INDEX(Station_Click_Areas!$F:$F,MATCH(B231,Station_Click_Areas!$B:$B,0)),"")</f>
        <v>3216</v>
      </c>
      <c r="G231" s="9">
        <f>IFERROR(INDEX(Station_Click_Areas!$G:$G,MATCH(B231,Station_Click_Areas!$B:$B,0)),"")</f>
        <v>2052</v>
      </c>
      <c r="H231" s="11">
        <f>IF(F231="","",F231/Config!$B$2*100)</f>
        <v>62.812500000000007</v>
      </c>
      <c r="I231" s="11">
        <f>IF(G231="","",G231/Config!$B$3*100)</f>
        <v>71.25</v>
      </c>
      <c r="J231" s="5">
        <v>10.5</v>
      </c>
      <c r="K231" s="5" t="s">
        <v>932</v>
      </c>
      <c r="L231" s="5" t="s">
        <v>930</v>
      </c>
      <c r="M231" s="5">
        <v>0</v>
      </c>
      <c r="N231" s="5" t="s">
        <v>931</v>
      </c>
      <c r="O231" s="5"/>
    </row>
    <row r="232" spans="1:15" ht="15">
      <c r="A232" s="5" t="str">
        <f t="shared" si="3"/>
        <v>완료</v>
      </c>
      <c r="B232" s="5" t="s">
        <v>594</v>
      </c>
      <c r="C232" s="5" t="s">
        <v>594</v>
      </c>
      <c r="D232" s="5" t="s">
        <v>595</v>
      </c>
      <c r="E232" s="5" t="s">
        <v>582</v>
      </c>
      <c r="F232" s="9">
        <f>IFERROR(INDEX(Station_Click_Areas!$F:$F,MATCH(B232,Station_Click_Areas!$B:$B,0)),"")</f>
        <v>3360</v>
      </c>
      <c r="G232" s="9">
        <f>IFERROR(INDEX(Station_Click_Areas!$G:$G,MATCH(B232,Station_Click_Areas!$B:$B,0)),"")</f>
        <v>2204</v>
      </c>
      <c r="H232" s="11">
        <f>IF(F232="","",F232/Config!$B$2*100)</f>
        <v>65.625</v>
      </c>
      <c r="I232" s="11">
        <f>IF(G232="","",G232/Config!$B$3*100)</f>
        <v>76.527777777777771</v>
      </c>
      <c r="J232" s="5">
        <v>10.5</v>
      </c>
      <c r="K232" s="5" t="s">
        <v>932</v>
      </c>
      <c r="L232" s="5" t="s">
        <v>930</v>
      </c>
      <c r="M232" s="5">
        <v>0</v>
      </c>
      <c r="N232" s="5" t="s">
        <v>931</v>
      </c>
      <c r="O232" s="5"/>
    </row>
    <row r="233" spans="1:15" ht="15">
      <c r="A233" s="5" t="str">
        <f t="shared" si="3"/>
        <v>완료</v>
      </c>
      <c r="B233" s="5" t="s">
        <v>596</v>
      </c>
      <c r="C233" s="5" t="s">
        <v>596</v>
      </c>
      <c r="D233" s="5" t="s">
        <v>597</v>
      </c>
      <c r="E233" s="5" t="s">
        <v>582</v>
      </c>
      <c r="F233" s="9">
        <f>IFERROR(INDEX(Station_Click_Areas!$F:$F,MATCH(B233,Station_Click_Areas!$B:$B,0)),"")</f>
        <v>3420</v>
      </c>
      <c r="G233" s="9">
        <f>IFERROR(INDEX(Station_Click_Areas!$G:$G,MATCH(B233,Station_Click_Areas!$B:$B,0)),"")</f>
        <v>2264</v>
      </c>
      <c r="H233" s="11">
        <f>IF(F233="","",F233/Config!$B$2*100)</f>
        <v>66.796875</v>
      </c>
      <c r="I233" s="11">
        <f>IF(G233="","",G233/Config!$B$3*100)</f>
        <v>78.611111111111114</v>
      </c>
      <c r="J233" s="5">
        <v>10.5</v>
      </c>
      <c r="K233" s="5" t="s">
        <v>932</v>
      </c>
      <c r="L233" s="5" t="s">
        <v>930</v>
      </c>
      <c r="M233" s="5">
        <v>0</v>
      </c>
      <c r="N233" s="5" t="s">
        <v>931</v>
      </c>
      <c r="O233" s="5"/>
    </row>
    <row r="234" spans="1:15" ht="15">
      <c r="A234" s="5" t="str">
        <f t="shared" si="3"/>
        <v>완료</v>
      </c>
      <c r="B234" s="5" t="s">
        <v>598</v>
      </c>
      <c r="C234" s="5" t="s">
        <v>598</v>
      </c>
      <c r="D234" s="5" t="s">
        <v>599</v>
      </c>
      <c r="E234" s="5" t="s">
        <v>582</v>
      </c>
      <c r="F234" s="9">
        <f>IFERROR(INDEX(Station_Click_Areas!$F:$F,MATCH(B234,Station_Click_Areas!$B:$B,0)),"")</f>
        <v>3480</v>
      </c>
      <c r="G234" s="9">
        <f>IFERROR(INDEX(Station_Click_Areas!$G:$G,MATCH(B234,Station_Click_Areas!$B:$B,0)),"")</f>
        <v>2328</v>
      </c>
      <c r="H234" s="11">
        <f>IF(F234="","",F234/Config!$B$2*100)</f>
        <v>67.96875</v>
      </c>
      <c r="I234" s="11">
        <f>IF(G234="","",G234/Config!$B$3*100)</f>
        <v>80.833333333333329</v>
      </c>
      <c r="J234" s="5">
        <v>10.5</v>
      </c>
      <c r="K234" s="5" t="s">
        <v>932</v>
      </c>
      <c r="L234" s="5" t="s">
        <v>930</v>
      </c>
      <c r="M234" s="5">
        <v>0</v>
      </c>
      <c r="N234" s="5" t="s">
        <v>931</v>
      </c>
      <c r="O234" s="5"/>
    </row>
    <row r="235" spans="1:15" ht="15">
      <c r="A235" s="5" t="str">
        <f t="shared" si="3"/>
        <v>완료</v>
      </c>
      <c r="B235" s="5" t="s">
        <v>600</v>
      </c>
      <c r="C235" s="5" t="s">
        <v>600</v>
      </c>
      <c r="D235" s="5" t="s">
        <v>601</v>
      </c>
      <c r="E235" s="5" t="s">
        <v>582</v>
      </c>
      <c r="F235" s="9">
        <f>IFERROR(INDEX(Station_Click_Areas!$F:$F,MATCH(B235,Station_Click_Areas!$B:$B,0)),"")</f>
        <v>3628</v>
      </c>
      <c r="G235" s="9">
        <f>IFERROR(INDEX(Station_Click_Areas!$G:$G,MATCH(B235,Station_Click_Areas!$B:$B,0)),"")</f>
        <v>2328</v>
      </c>
      <c r="H235" s="11">
        <f>IF(F235="","",F235/Config!$B$2*100)</f>
        <v>70.859375</v>
      </c>
      <c r="I235" s="11">
        <f>IF(G235="","",G235/Config!$B$3*100)</f>
        <v>80.833333333333329</v>
      </c>
      <c r="J235" s="5">
        <v>10.5</v>
      </c>
      <c r="K235" s="5" t="s">
        <v>932</v>
      </c>
      <c r="L235" s="5" t="s">
        <v>930</v>
      </c>
      <c r="M235" s="5">
        <v>0</v>
      </c>
      <c r="N235" s="5" t="s">
        <v>931</v>
      </c>
      <c r="O235" s="5"/>
    </row>
    <row r="236" spans="1:15" ht="15">
      <c r="A236" s="5" t="str">
        <f t="shared" si="3"/>
        <v>완료</v>
      </c>
      <c r="B236" s="5" t="s">
        <v>602</v>
      </c>
      <c r="C236" s="5" t="s">
        <v>602</v>
      </c>
      <c r="D236" s="5" t="s">
        <v>603</v>
      </c>
      <c r="E236" s="5" t="s">
        <v>582</v>
      </c>
      <c r="F236" s="9">
        <f>IFERROR(INDEX(Station_Click_Areas!$F:$F,MATCH(B236,Station_Click_Areas!$B:$B,0)),"")</f>
        <v>3768</v>
      </c>
      <c r="G236" s="9">
        <f>IFERROR(INDEX(Station_Click_Areas!$G:$G,MATCH(B236,Station_Click_Areas!$B:$B,0)),"")</f>
        <v>2328</v>
      </c>
      <c r="H236" s="11">
        <f>IF(F236="","",F236/Config!$B$2*100)</f>
        <v>73.59375</v>
      </c>
      <c r="I236" s="11">
        <f>IF(G236="","",G236/Config!$B$3*100)</f>
        <v>80.833333333333329</v>
      </c>
      <c r="J236" s="5">
        <v>10.5</v>
      </c>
      <c r="K236" s="5" t="s">
        <v>932</v>
      </c>
      <c r="L236" s="5" t="s">
        <v>930</v>
      </c>
      <c r="M236" s="5">
        <v>0</v>
      </c>
      <c r="N236" s="5" t="s">
        <v>931</v>
      </c>
      <c r="O236" s="5"/>
    </row>
    <row r="237" spans="1:15" ht="15">
      <c r="A237" s="5" t="str">
        <f t="shared" si="3"/>
        <v>완료</v>
      </c>
      <c r="B237" s="5" t="s">
        <v>604</v>
      </c>
      <c r="C237" s="5" t="s">
        <v>604</v>
      </c>
      <c r="D237" s="5" t="s">
        <v>605</v>
      </c>
      <c r="E237" s="5" t="s">
        <v>582</v>
      </c>
      <c r="F237" s="9">
        <f>IFERROR(INDEX(Station_Click_Areas!$F:$F,MATCH(B237,Station_Click_Areas!$B:$B,0)),"")</f>
        <v>3768</v>
      </c>
      <c r="G237" s="9">
        <f>IFERROR(INDEX(Station_Click_Areas!$G:$G,MATCH(B237,Station_Click_Areas!$B:$B,0)),"")</f>
        <v>2436</v>
      </c>
      <c r="H237" s="11">
        <f>IF(F237="","",F237/Config!$B$2*100)</f>
        <v>73.59375</v>
      </c>
      <c r="I237" s="11">
        <f>IF(G237="","",G237/Config!$B$3*100)</f>
        <v>84.583333333333329</v>
      </c>
      <c r="J237" s="5">
        <v>10.5</v>
      </c>
      <c r="K237" s="5" t="s">
        <v>932</v>
      </c>
      <c r="L237" s="5" t="s">
        <v>930</v>
      </c>
      <c r="M237" s="5">
        <v>0</v>
      </c>
      <c r="N237" s="5" t="s">
        <v>931</v>
      </c>
      <c r="O237" s="5"/>
    </row>
    <row r="238" spans="1:15" ht="15">
      <c r="A238" s="5" t="str">
        <f t="shared" si="3"/>
        <v>완료</v>
      </c>
      <c r="B238" s="5" t="s">
        <v>606</v>
      </c>
      <c r="C238" s="5" t="s">
        <v>606</v>
      </c>
      <c r="D238" s="5" t="s">
        <v>607</v>
      </c>
      <c r="E238" s="5" t="s">
        <v>582</v>
      </c>
      <c r="F238" s="9">
        <f>IFERROR(INDEX(Station_Click_Areas!$F:$F,MATCH(B238,Station_Click_Areas!$B:$B,0)),"")</f>
        <v>3768</v>
      </c>
      <c r="G238" s="9">
        <f>IFERROR(INDEX(Station_Click_Areas!$G:$G,MATCH(B238,Station_Click_Areas!$B:$B,0)),"")</f>
        <v>2544</v>
      </c>
      <c r="H238" s="11">
        <f>IF(F238="","",F238/Config!$B$2*100)</f>
        <v>73.59375</v>
      </c>
      <c r="I238" s="11">
        <f>IF(G238="","",G238/Config!$B$3*100)</f>
        <v>88.333333333333329</v>
      </c>
      <c r="J238" s="5">
        <v>10.5</v>
      </c>
      <c r="K238" s="5" t="s">
        <v>932</v>
      </c>
      <c r="L238" s="5" t="s">
        <v>930</v>
      </c>
      <c r="M238" s="5">
        <v>0</v>
      </c>
      <c r="N238" s="5" t="s">
        <v>931</v>
      </c>
      <c r="O238" s="5"/>
    </row>
    <row r="239" spans="1:15" ht="15">
      <c r="A239" s="5" t="str">
        <f t="shared" si="3"/>
        <v>완료</v>
      </c>
      <c r="B239" s="5" t="s">
        <v>608</v>
      </c>
      <c r="C239" s="5" t="s">
        <v>608</v>
      </c>
      <c r="D239" s="5" t="s">
        <v>609</v>
      </c>
      <c r="E239" s="5" t="s">
        <v>582</v>
      </c>
      <c r="F239" s="9">
        <f>IFERROR(INDEX(Station_Click_Areas!$F:$F,MATCH(B239,Station_Click_Areas!$B:$B,0)),"")</f>
        <v>3768</v>
      </c>
      <c r="G239" s="9">
        <f>IFERROR(INDEX(Station_Click_Areas!$G:$G,MATCH(B239,Station_Click_Areas!$B:$B,0)),"")</f>
        <v>2652</v>
      </c>
      <c r="H239" s="11">
        <f>IF(F239="","",F239/Config!$B$2*100)</f>
        <v>73.59375</v>
      </c>
      <c r="I239" s="11">
        <f>IF(G239="","",G239/Config!$B$3*100)</f>
        <v>92.083333333333329</v>
      </c>
      <c r="J239" s="5">
        <v>10.5</v>
      </c>
      <c r="K239" s="5" t="s">
        <v>932</v>
      </c>
      <c r="L239" s="5" t="s">
        <v>930</v>
      </c>
      <c r="M239" s="5">
        <v>0</v>
      </c>
      <c r="N239" s="5" t="s">
        <v>931</v>
      </c>
      <c r="O239" s="5"/>
    </row>
    <row r="240" spans="1:15" ht="15">
      <c r="A240" s="5" t="str">
        <f t="shared" si="3"/>
        <v>완료</v>
      </c>
      <c r="B240" s="5" t="s">
        <v>610</v>
      </c>
      <c r="C240" s="5" t="s">
        <v>610</v>
      </c>
      <c r="D240" s="5" t="s">
        <v>611</v>
      </c>
      <c r="E240" s="5" t="s">
        <v>582</v>
      </c>
      <c r="F240" s="9">
        <f>IFERROR(INDEX(Station_Click_Areas!$F:$F,MATCH(B240,Station_Click_Areas!$B:$B,0)),"")</f>
        <v>3580</v>
      </c>
      <c r="G240" s="9">
        <f>IFERROR(INDEX(Station_Click_Areas!$G:$G,MATCH(B240,Station_Click_Areas!$B:$B,0)),"")</f>
        <v>2652</v>
      </c>
      <c r="H240" s="11">
        <f>IF(F240="","",F240/Config!$B$2*100)</f>
        <v>69.921875</v>
      </c>
      <c r="I240" s="11">
        <f>IF(G240="","",G240/Config!$B$3*100)</f>
        <v>92.083333333333329</v>
      </c>
      <c r="J240" s="5">
        <v>10.5</v>
      </c>
      <c r="K240" s="5" t="s">
        <v>932</v>
      </c>
      <c r="L240" s="5" t="s">
        <v>930</v>
      </c>
      <c r="M240" s="5">
        <v>0</v>
      </c>
      <c r="N240" s="5" t="s">
        <v>931</v>
      </c>
      <c r="O240" s="5"/>
    </row>
    <row r="241" spans="1:15" ht="15">
      <c r="A241" s="5" t="str">
        <f t="shared" si="3"/>
        <v>완료</v>
      </c>
      <c r="B241" s="5" t="s">
        <v>612</v>
      </c>
      <c r="C241" s="5" t="s">
        <v>612</v>
      </c>
      <c r="D241" s="5" t="s">
        <v>613</v>
      </c>
      <c r="E241" s="5" t="s">
        <v>582</v>
      </c>
      <c r="F241" s="9">
        <f>IFERROR(INDEX(Station_Click_Areas!$F:$F,MATCH(B241,Station_Click_Areas!$B:$B,0)),"")</f>
        <v>3392</v>
      </c>
      <c r="G241" s="9">
        <f>IFERROR(INDEX(Station_Click_Areas!$G:$G,MATCH(B241,Station_Click_Areas!$B:$B,0)),"")</f>
        <v>2652</v>
      </c>
      <c r="H241" s="11">
        <f>IF(F241="","",F241/Config!$B$2*100)</f>
        <v>66.25</v>
      </c>
      <c r="I241" s="11">
        <f>IF(G241="","",G241/Config!$B$3*100)</f>
        <v>92.083333333333329</v>
      </c>
      <c r="J241" s="5">
        <v>10.5</v>
      </c>
      <c r="K241" s="5" t="s">
        <v>932</v>
      </c>
      <c r="L241" s="5" t="s">
        <v>930</v>
      </c>
      <c r="M241" s="5">
        <v>0</v>
      </c>
      <c r="N241" s="5" t="s">
        <v>931</v>
      </c>
      <c r="O241" s="5"/>
    </row>
  </sheetData>
  <phoneticPr fontId="8" type="noConversion"/>
  <conditionalFormatting sqref="A2:A241">
    <cfRule type="expression" dxfId="1" priority="1">
      <formula>A2="완료"</formula>
    </cfRule>
    <cfRule type="expression" dxfId="0" priority="2">
      <formula>A2="미작업"</formula>
    </cfRule>
  </conditionalFormatting>
  <dataValidations count="1">
    <dataValidation type="list" sqref="L2:L241" xr:uid="{00000000-0002-0000-0500-000000000000}">
      <formula1>"center,top,bottom,left,right,top_left,top_right,bottom_left,bottom_right"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2"/>
  <sheetViews>
    <sheetView workbookViewId="0"/>
  </sheetViews>
  <sheetFormatPr defaultRowHeight="14.25"/>
  <cols>
    <col min="1" max="1" width="10" customWidth="1"/>
    <col min="2" max="2" width="18" customWidth="1"/>
    <col min="3" max="3" width="12" customWidth="1"/>
    <col min="4" max="4" width="28" customWidth="1"/>
    <col min="5" max="6" width="18" customWidth="1"/>
    <col min="7" max="7" width="24" customWidth="1"/>
    <col min="8" max="8" width="18" customWidth="1"/>
    <col min="9" max="9" width="30" customWidth="1"/>
  </cols>
  <sheetData>
    <row r="1" spans="1:26" ht="27.95" customHeight="1">
      <c r="A1" s="12" t="s">
        <v>617</v>
      </c>
      <c r="B1" s="12" t="s">
        <v>933</v>
      </c>
      <c r="C1" s="12" t="s">
        <v>934</v>
      </c>
      <c r="D1" s="12" t="s">
        <v>616</v>
      </c>
      <c r="E1" s="12" t="s">
        <v>46</v>
      </c>
      <c r="F1" s="12" t="s">
        <v>47</v>
      </c>
      <c r="G1" s="12" t="s">
        <v>48</v>
      </c>
      <c r="H1" s="12" t="s">
        <v>935</v>
      </c>
      <c r="I1" s="12" t="s">
        <v>54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 t="s">
        <v>65</v>
      </c>
      <c r="B2" s="5" t="s">
        <v>627</v>
      </c>
      <c r="C2" s="5">
        <v>1</v>
      </c>
      <c r="D2" s="5" t="s">
        <v>626</v>
      </c>
      <c r="E2" s="5" t="s">
        <v>56</v>
      </c>
      <c r="F2" s="5" t="s">
        <v>56</v>
      </c>
      <c r="G2" s="5" t="s">
        <v>56</v>
      </c>
      <c r="H2" s="6" t="b">
        <v>1</v>
      </c>
      <c r="I2" s="5"/>
    </row>
    <row r="3" spans="1:26">
      <c r="A3" s="5" t="s">
        <v>65</v>
      </c>
      <c r="B3" s="5" t="s">
        <v>627</v>
      </c>
      <c r="C3" s="5">
        <v>2</v>
      </c>
      <c r="D3" s="5" t="s">
        <v>628</v>
      </c>
      <c r="E3" s="5" t="s">
        <v>59</v>
      </c>
      <c r="F3" s="5" t="s">
        <v>59</v>
      </c>
      <c r="G3" s="5" t="s">
        <v>60</v>
      </c>
      <c r="H3" s="6" t="b">
        <v>0</v>
      </c>
      <c r="I3" s="5"/>
    </row>
    <row r="4" spans="1:26">
      <c r="A4" s="5" t="s">
        <v>65</v>
      </c>
      <c r="B4" s="5" t="s">
        <v>627</v>
      </c>
      <c r="C4" s="5">
        <v>3</v>
      </c>
      <c r="D4" s="5" t="s">
        <v>629</v>
      </c>
      <c r="E4" s="5" t="s">
        <v>63</v>
      </c>
      <c r="F4" s="5" t="s">
        <v>63</v>
      </c>
      <c r="G4" s="5" t="s">
        <v>64</v>
      </c>
      <c r="H4" s="6" t="b">
        <v>0</v>
      </c>
      <c r="I4" s="5"/>
    </row>
    <row r="5" spans="1:26">
      <c r="A5" s="5" t="s">
        <v>65</v>
      </c>
      <c r="B5" s="5" t="s">
        <v>627</v>
      </c>
      <c r="C5" s="5">
        <v>4</v>
      </c>
      <c r="D5" s="5" t="s">
        <v>630</v>
      </c>
      <c r="E5" s="5" t="s">
        <v>67</v>
      </c>
      <c r="F5" s="5" t="s">
        <v>67</v>
      </c>
      <c r="G5" s="5" t="s">
        <v>68</v>
      </c>
      <c r="H5" s="6" t="b">
        <v>0</v>
      </c>
      <c r="I5" s="5"/>
    </row>
    <row r="6" spans="1:26">
      <c r="A6" s="5" t="s">
        <v>65</v>
      </c>
      <c r="B6" s="5" t="s">
        <v>627</v>
      </c>
      <c r="C6" s="5">
        <v>5</v>
      </c>
      <c r="D6" s="5" t="s">
        <v>631</v>
      </c>
      <c r="E6" s="5" t="s">
        <v>71</v>
      </c>
      <c r="F6" s="5" t="s">
        <v>71</v>
      </c>
      <c r="G6" s="5" t="s">
        <v>72</v>
      </c>
      <c r="H6" s="6" t="b">
        <v>0</v>
      </c>
      <c r="I6" s="5"/>
    </row>
    <row r="7" spans="1:26">
      <c r="A7" s="5" t="s">
        <v>65</v>
      </c>
      <c r="B7" s="5" t="s">
        <v>627</v>
      </c>
      <c r="C7" s="5">
        <v>6</v>
      </c>
      <c r="D7" s="5" t="s">
        <v>632</v>
      </c>
      <c r="E7" s="5" t="s">
        <v>73</v>
      </c>
      <c r="F7" s="5" t="s">
        <v>73</v>
      </c>
      <c r="G7" s="5" t="s">
        <v>74</v>
      </c>
      <c r="H7" s="6" t="b">
        <v>0</v>
      </c>
      <c r="I7" s="5"/>
    </row>
    <row r="8" spans="1:26">
      <c r="A8" s="5" t="s">
        <v>65</v>
      </c>
      <c r="B8" s="5" t="s">
        <v>627</v>
      </c>
      <c r="C8" s="5">
        <v>7</v>
      </c>
      <c r="D8" s="5" t="s">
        <v>633</v>
      </c>
      <c r="E8" s="5" t="s">
        <v>75</v>
      </c>
      <c r="F8" s="5" t="s">
        <v>75</v>
      </c>
      <c r="G8" s="5" t="s">
        <v>76</v>
      </c>
      <c r="H8" s="6" t="b">
        <v>0</v>
      </c>
      <c r="I8" s="5"/>
    </row>
    <row r="9" spans="1:26">
      <c r="A9" s="5" t="s">
        <v>65</v>
      </c>
      <c r="B9" s="5" t="s">
        <v>627</v>
      </c>
      <c r="C9" s="5">
        <v>8</v>
      </c>
      <c r="D9" s="5" t="s">
        <v>634</v>
      </c>
      <c r="E9" s="5" t="s">
        <v>79</v>
      </c>
      <c r="F9" s="5" t="s">
        <v>79</v>
      </c>
      <c r="G9" s="5" t="s">
        <v>80</v>
      </c>
      <c r="H9" s="6" t="b">
        <v>0</v>
      </c>
      <c r="I9" s="5"/>
    </row>
    <row r="10" spans="1:26">
      <c r="A10" s="5" t="s">
        <v>65</v>
      </c>
      <c r="B10" s="5" t="s">
        <v>627</v>
      </c>
      <c r="C10" s="5">
        <v>9</v>
      </c>
      <c r="D10" s="5" t="s">
        <v>635</v>
      </c>
      <c r="E10" s="5" t="s">
        <v>82</v>
      </c>
      <c r="F10" s="5" t="s">
        <v>82</v>
      </c>
      <c r="G10" s="5" t="s">
        <v>83</v>
      </c>
      <c r="H10" s="6" t="b">
        <v>0</v>
      </c>
      <c r="I10" s="5"/>
    </row>
    <row r="11" spans="1:26">
      <c r="A11" s="5" t="s">
        <v>65</v>
      </c>
      <c r="B11" s="5" t="s">
        <v>627</v>
      </c>
      <c r="C11" s="5">
        <v>10</v>
      </c>
      <c r="D11" s="5" t="s">
        <v>636</v>
      </c>
      <c r="E11" s="5" t="s">
        <v>84</v>
      </c>
      <c r="F11" s="5" t="s">
        <v>84</v>
      </c>
      <c r="G11" s="5" t="s">
        <v>85</v>
      </c>
      <c r="H11" s="6" t="b">
        <v>1</v>
      </c>
      <c r="I11" s="5" t="s">
        <v>86</v>
      </c>
    </row>
    <row r="12" spans="1:26">
      <c r="A12" s="5" t="s">
        <v>89</v>
      </c>
      <c r="B12" s="5" t="s">
        <v>627</v>
      </c>
      <c r="C12" s="5">
        <v>1</v>
      </c>
      <c r="D12" s="5" t="s">
        <v>637</v>
      </c>
      <c r="E12" s="5" t="s">
        <v>59</v>
      </c>
      <c r="F12" s="5" t="s">
        <v>59</v>
      </c>
      <c r="G12" s="5" t="s">
        <v>60</v>
      </c>
      <c r="H12" s="6" t="b">
        <v>1</v>
      </c>
      <c r="I12" s="5"/>
    </row>
    <row r="13" spans="1:26">
      <c r="A13" s="5" t="s">
        <v>89</v>
      </c>
      <c r="B13" s="5" t="s">
        <v>627</v>
      </c>
      <c r="C13" s="5">
        <v>2</v>
      </c>
      <c r="D13" s="5" t="s">
        <v>640</v>
      </c>
      <c r="E13" s="5" t="s">
        <v>87</v>
      </c>
      <c r="F13" s="5" t="s">
        <v>87</v>
      </c>
      <c r="G13" s="5" t="s">
        <v>88</v>
      </c>
      <c r="H13" s="6" t="b">
        <v>0</v>
      </c>
      <c r="I13" s="5"/>
    </row>
    <row r="14" spans="1:26">
      <c r="A14" s="5" t="s">
        <v>89</v>
      </c>
      <c r="B14" s="5" t="s">
        <v>627</v>
      </c>
      <c r="C14" s="5">
        <v>3</v>
      </c>
      <c r="D14" s="5" t="s">
        <v>641</v>
      </c>
      <c r="E14" s="5" t="s">
        <v>91</v>
      </c>
      <c r="F14" s="5" t="s">
        <v>91</v>
      </c>
      <c r="G14" s="5" t="s">
        <v>92</v>
      </c>
      <c r="H14" s="6" t="b">
        <v>0</v>
      </c>
      <c r="I14" s="5"/>
    </row>
    <row r="15" spans="1:26">
      <c r="A15" s="5" t="s">
        <v>89</v>
      </c>
      <c r="B15" s="5" t="s">
        <v>627</v>
      </c>
      <c r="C15" s="5">
        <v>4</v>
      </c>
      <c r="D15" s="5" t="s">
        <v>642</v>
      </c>
      <c r="E15" s="5" t="s">
        <v>95</v>
      </c>
      <c r="F15" s="5" t="s">
        <v>95</v>
      </c>
      <c r="G15" s="5" t="s">
        <v>96</v>
      </c>
      <c r="H15" s="6" t="b">
        <v>0</v>
      </c>
      <c r="I15" s="5"/>
    </row>
    <row r="16" spans="1:26">
      <c r="A16" s="5" t="s">
        <v>89</v>
      </c>
      <c r="B16" s="5" t="s">
        <v>627</v>
      </c>
      <c r="C16" s="5">
        <v>5</v>
      </c>
      <c r="D16" s="5" t="s">
        <v>643</v>
      </c>
      <c r="E16" s="5" t="s">
        <v>99</v>
      </c>
      <c r="F16" s="5" t="s">
        <v>99</v>
      </c>
      <c r="G16" s="5" t="s">
        <v>100</v>
      </c>
      <c r="H16" s="6" t="b">
        <v>0</v>
      </c>
      <c r="I16" s="5" t="s">
        <v>103</v>
      </c>
    </row>
    <row r="17" spans="1:9">
      <c r="A17" s="5" t="s">
        <v>89</v>
      </c>
      <c r="B17" s="5" t="s">
        <v>627</v>
      </c>
      <c r="C17" s="5">
        <v>6</v>
      </c>
      <c r="D17" s="5" t="s">
        <v>644</v>
      </c>
      <c r="E17" s="5" t="s">
        <v>104</v>
      </c>
      <c r="F17" s="5" t="s">
        <v>104</v>
      </c>
      <c r="G17" s="5" t="s">
        <v>105</v>
      </c>
      <c r="H17" s="6" t="b">
        <v>0</v>
      </c>
      <c r="I17" s="5"/>
    </row>
    <row r="18" spans="1:9">
      <c r="A18" s="5" t="s">
        <v>89</v>
      </c>
      <c r="B18" s="5" t="s">
        <v>627</v>
      </c>
      <c r="C18" s="5">
        <v>7</v>
      </c>
      <c r="D18" s="5" t="s">
        <v>645</v>
      </c>
      <c r="E18" s="5" t="s">
        <v>108</v>
      </c>
      <c r="F18" s="5" t="s">
        <v>108</v>
      </c>
      <c r="G18" s="5" t="s">
        <v>109</v>
      </c>
      <c r="H18" s="6" t="b">
        <v>0</v>
      </c>
      <c r="I18" s="5"/>
    </row>
    <row r="19" spans="1:9">
      <c r="A19" s="5" t="s">
        <v>89</v>
      </c>
      <c r="B19" s="5" t="s">
        <v>627</v>
      </c>
      <c r="C19" s="5">
        <v>8</v>
      </c>
      <c r="D19" s="5" t="s">
        <v>646</v>
      </c>
      <c r="E19" s="5" t="s">
        <v>110</v>
      </c>
      <c r="F19" s="5" t="s">
        <v>110</v>
      </c>
      <c r="G19" s="5" t="s">
        <v>111</v>
      </c>
      <c r="H19" s="6" t="b">
        <v>0</v>
      </c>
      <c r="I19" s="5"/>
    </row>
    <row r="20" spans="1:9">
      <c r="A20" s="5" t="s">
        <v>89</v>
      </c>
      <c r="B20" s="5" t="s">
        <v>627</v>
      </c>
      <c r="C20" s="5">
        <v>9</v>
      </c>
      <c r="D20" s="5" t="s">
        <v>647</v>
      </c>
      <c r="E20" s="5" t="s">
        <v>112</v>
      </c>
      <c r="F20" s="5" t="s">
        <v>112</v>
      </c>
      <c r="G20" s="5" t="s">
        <v>113</v>
      </c>
      <c r="H20" s="6" t="b">
        <v>0</v>
      </c>
      <c r="I20" s="5"/>
    </row>
    <row r="21" spans="1:9">
      <c r="A21" s="5" t="s">
        <v>89</v>
      </c>
      <c r="B21" s="5" t="s">
        <v>627</v>
      </c>
      <c r="C21" s="5">
        <v>10</v>
      </c>
      <c r="D21" s="5" t="s">
        <v>648</v>
      </c>
      <c r="E21" s="5" t="s">
        <v>114</v>
      </c>
      <c r="F21" s="5" t="s">
        <v>114</v>
      </c>
      <c r="G21" s="5" t="s">
        <v>115</v>
      </c>
      <c r="H21" s="6" t="b">
        <v>0</v>
      </c>
      <c r="I21" s="5"/>
    </row>
    <row r="22" spans="1:9">
      <c r="A22" s="5" t="s">
        <v>89</v>
      </c>
      <c r="B22" s="5" t="s">
        <v>627</v>
      </c>
      <c r="C22" s="5">
        <v>11</v>
      </c>
      <c r="D22" s="5" t="s">
        <v>649</v>
      </c>
      <c r="E22" s="5" t="s">
        <v>116</v>
      </c>
      <c r="F22" s="5" t="s">
        <v>116</v>
      </c>
      <c r="G22" s="5" t="s">
        <v>117</v>
      </c>
      <c r="H22" s="6" t="b">
        <v>0</v>
      </c>
      <c r="I22" s="5"/>
    </row>
    <row r="23" spans="1:9">
      <c r="A23" s="5" t="s">
        <v>89</v>
      </c>
      <c r="B23" s="5" t="s">
        <v>627</v>
      </c>
      <c r="C23" s="5">
        <v>12</v>
      </c>
      <c r="D23" s="5" t="s">
        <v>651</v>
      </c>
      <c r="E23" s="5" t="s">
        <v>119</v>
      </c>
      <c r="F23" s="5" t="s">
        <v>119</v>
      </c>
      <c r="G23" s="5" t="s">
        <v>120</v>
      </c>
      <c r="H23" s="6" t="b">
        <v>0</v>
      </c>
      <c r="I23" s="5"/>
    </row>
    <row r="24" spans="1:9">
      <c r="A24" s="5" t="s">
        <v>89</v>
      </c>
      <c r="B24" s="5" t="s">
        <v>627</v>
      </c>
      <c r="C24" s="5">
        <v>13</v>
      </c>
      <c r="D24" s="5" t="s">
        <v>652</v>
      </c>
      <c r="E24" s="5" t="s">
        <v>123</v>
      </c>
      <c r="F24" s="5" t="s">
        <v>123</v>
      </c>
      <c r="G24" s="5" t="s">
        <v>124</v>
      </c>
      <c r="H24" s="6" t="b">
        <v>0</v>
      </c>
      <c r="I24" s="5"/>
    </row>
    <row r="25" spans="1:9">
      <c r="A25" s="5" t="s">
        <v>89</v>
      </c>
      <c r="B25" s="5" t="s">
        <v>627</v>
      </c>
      <c r="C25" s="5">
        <v>14</v>
      </c>
      <c r="D25" s="5" t="s">
        <v>653</v>
      </c>
      <c r="E25" s="5" t="s">
        <v>125</v>
      </c>
      <c r="F25" s="5" t="s">
        <v>125</v>
      </c>
      <c r="G25" s="5" t="s">
        <v>126</v>
      </c>
      <c r="H25" s="6" t="b">
        <v>0</v>
      </c>
      <c r="I25" s="5"/>
    </row>
    <row r="26" spans="1:9">
      <c r="A26" s="5" t="s">
        <v>89</v>
      </c>
      <c r="B26" s="5" t="s">
        <v>627</v>
      </c>
      <c r="C26" s="5">
        <v>15</v>
      </c>
      <c r="D26" s="5" t="s">
        <v>654</v>
      </c>
      <c r="E26" s="5" t="s">
        <v>127</v>
      </c>
      <c r="F26" s="5" t="s">
        <v>127</v>
      </c>
      <c r="G26" s="5" t="s">
        <v>128</v>
      </c>
      <c r="H26" s="6" t="b">
        <v>0</v>
      </c>
      <c r="I26" s="5"/>
    </row>
    <row r="27" spans="1:9">
      <c r="A27" s="5" t="s">
        <v>89</v>
      </c>
      <c r="B27" s="5" t="s">
        <v>627</v>
      </c>
      <c r="C27" s="5">
        <v>16</v>
      </c>
      <c r="D27" s="5" t="s">
        <v>655</v>
      </c>
      <c r="E27" s="5" t="s">
        <v>129</v>
      </c>
      <c r="F27" s="5" t="s">
        <v>129</v>
      </c>
      <c r="G27" s="5" t="s">
        <v>130</v>
      </c>
      <c r="H27" s="6" t="b">
        <v>0</v>
      </c>
      <c r="I27" s="5"/>
    </row>
    <row r="28" spans="1:9">
      <c r="A28" s="5" t="s">
        <v>89</v>
      </c>
      <c r="B28" s="5" t="s">
        <v>627</v>
      </c>
      <c r="C28" s="5">
        <v>17</v>
      </c>
      <c r="D28" s="5" t="s">
        <v>656</v>
      </c>
      <c r="E28" s="5" t="s">
        <v>133</v>
      </c>
      <c r="F28" s="5" t="s">
        <v>133</v>
      </c>
      <c r="G28" s="5" t="s">
        <v>134</v>
      </c>
      <c r="H28" s="6" t="b">
        <v>0</v>
      </c>
      <c r="I28" s="5"/>
    </row>
    <row r="29" spans="1:9">
      <c r="A29" s="5" t="s">
        <v>89</v>
      </c>
      <c r="B29" s="5" t="s">
        <v>627</v>
      </c>
      <c r="C29" s="5">
        <v>18</v>
      </c>
      <c r="D29" s="5" t="s">
        <v>657</v>
      </c>
      <c r="E29" s="5" t="s">
        <v>135</v>
      </c>
      <c r="F29" s="5" t="s">
        <v>135</v>
      </c>
      <c r="G29" s="5" t="s">
        <v>136</v>
      </c>
      <c r="H29" s="6" t="b">
        <v>0</v>
      </c>
      <c r="I29" s="5"/>
    </row>
    <row r="30" spans="1:9">
      <c r="A30" s="5" t="s">
        <v>89</v>
      </c>
      <c r="B30" s="5" t="s">
        <v>627</v>
      </c>
      <c r="C30" s="5">
        <v>19</v>
      </c>
      <c r="D30" s="5" t="s">
        <v>658</v>
      </c>
      <c r="E30" s="5" t="s">
        <v>137</v>
      </c>
      <c r="F30" s="5" t="s">
        <v>137</v>
      </c>
      <c r="G30" s="5" t="s">
        <v>138</v>
      </c>
      <c r="H30" s="6" t="b">
        <v>0</v>
      </c>
      <c r="I30" s="5"/>
    </row>
    <row r="31" spans="1:9">
      <c r="A31" s="5" t="s">
        <v>89</v>
      </c>
      <c r="B31" s="5" t="s">
        <v>627</v>
      </c>
      <c r="C31" s="5">
        <v>20</v>
      </c>
      <c r="D31" s="5" t="s">
        <v>659</v>
      </c>
      <c r="E31" s="5" t="s">
        <v>139</v>
      </c>
      <c r="F31" s="5" t="s">
        <v>139</v>
      </c>
      <c r="G31" s="5" t="s">
        <v>140</v>
      </c>
      <c r="H31" s="6" t="b">
        <v>0</v>
      </c>
      <c r="I31" s="5"/>
    </row>
    <row r="32" spans="1:9">
      <c r="A32" s="5" t="s">
        <v>89</v>
      </c>
      <c r="B32" s="5" t="s">
        <v>627</v>
      </c>
      <c r="C32" s="5">
        <v>21</v>
      </c>
      <c r="D32" s="5" t="s">
        <v>660</v>
      </c>
      <c r="E32" s="5" t="s">
        <v>141</v>
      </c>
      <c r="F32" s="5" t="s">
        <v>141</v>
      </c>
      <c r="G32" s="5" t="s">
        <v>142</v>
      </c>
      <c r="H32" s="6" t="b">
        <v>0</v>
      </c>
      <c r="I32" s="5"/>
    </row>
    <row r="33" spans="1:9">
      <c r="A33" s="5" t="s">
        <v>89</v>
      </c>
      <c r="B33" s="5" t="s">
        <v>627</v>
      </c>
      <c r="C33" s="5">
        <v>22</v>
      </c>
      <c r="D33" s="5" t="s">
        <v>661</v>
      </c>
      <c r="E33" s="5" t="s">
        <v>143</v>
      </c>
      <c r="F33" s="5" t="s">
        <v>143</v>
      </c>
      <c r="G33" s="5" t="s">
        <v>144</v>
      </c>
      <c r="H33" s="6" t="b">
        <v>0</v>
      </c>
      <c r="I33" s="5"/>
    </row>
    <row r="34" spans="1:9">
      <c r="A34" s="5" t="s">
        <v>89</v>
      </c>
      <c r="B34" s="5" t="s">
        <v>627</v>
      </c>
      <c r="C34" s="5">
        <v>23</v>
      </c>
      <c r="D34" s="5" t="s">
        <v>662</v>
      </c>
      <c r="E34" s="5" t="s">
        <v>145</v>
      </c>
      <c r="F34" s="5" t="s">
        <v>145</v>
      </c>
      <c r="G34" s="5" t="s">
        <v>146</v>
      </c>
      <c r="H34" s="6" t="b">
        <v>0</v>
      </c>
      <c r="I34" s="5"/>
    </row>
    <row r="35" spans="1:9">
      <c r="A35" s="5" t="s">
        <v>89</v>
      </c>
      <c r="B35" s="5" t="s">
        <v>627</v>
      </c>
      <c r="C35" s="5">
        <v>24</v>
      </c>
      <c r="D35" s="5" t="s">
        <v>663</v>
      </c>
      <c r="E35" s="5" t="s">
        <v>147</v>
      </c>
      <c r="F35" s="5" t="s">
        <v>147</v>
      </c>
      <c r="G35" s="5" t="s">
        <v>148</v>
      </c>
      <c r="H35" s="6" t="b">
        <v>0</v>
      </c>
      <c r="I35" s="5"/>
    </row>
    <row r="36" spans="1:9">
      <c r="A36" s="5" t="s">
        <v>89</v>
      </c>
      <c r="B36" s="5" t="s">
        <v>627</v>
      </c>
      <c r="C36" s="5">
        <v>25</v>
      </c>
      <c r="D36" s="5" t="s">
        <v>664</v>
      </c>
      <c r="E36" s="5" t="s">
        <v>149</v>
      </c>
      <c r="F36" s="5" t="s">
        <v>149</v>
      </c>
      <c r="G36" s="5" t="s">
        <v>150</v>
      </c>
      <c r="H36" s="6" t="b">
        <v>0</v>
      </c>
      <c r="I36" s="5"/>
    </row>
    <row r="37" spans="1:9">
      <c r="A37" s="5" t="s">
        <v>89</v>
      </c>
      <c r="B37" s="5" t="s">
        <v>627</v>
      </c>
      <c r="C37" s="5">
        <v>26</v>
      </c>
      <c r="D37" s="5" t="s">
        <v>665</v>
      </c>
      <c r="E37" s="5" t="s">
        <v>151</v>
      </c>
      <c r="F37" s="5" t="s">
        <v>151</v>
      </c>
      <c r="G37" s="5" t="s">
        <v>152</v>
      </c>
      <c r="H37" s="6" t="b">
        <v>0</v>
      </c>
      <c r="I37" s="5"/>
    </row>
    <row r="38" spans="1:9">
      <c r="A38" s="5" t="s">
        <v>89</v>
      </c>
      <c r="B38" s="5" t="s">
        <v>627</v>
      </c>
      <c r="C38" s="5">
        <v>27</v>
      </c>
      <c r="D38" s="5" t="s">
        <v>666</v>
      </c>
      <c r="E38" s="5" t="s">
        <v>155</v>
      </c>
      <c r="F38" s="5" t="s">
        <v>155</v>
      </c>
      <c r="G38" s="5" t="s">
        <v>156</v>
      </c>
      <c r="H38" s="6" t="b">
        <v>0</v>
      </c>
      <c r="I38" s="5"/>
    </row>
    <row r="39" spans="1:9">
      <c r="A39" s="5" t="s">
        <v>89</v>
      </c>
      <c r="B39" s="5" t="s">
        <v>627</v>
      </c>
      <c r="C39" s="5">
        <v>28</v>
      </c>
      <c r="D39" s="5" t="s">
        <v>667</v>
      </c>
      <c r="E39" s="5" t="s">
        <v>157</v>
      </c>
      <c r="F39" s="5" t="s">
        <v>157</v>
      </c>
      <c r="G39" s="5" t="s">
        <v>158</v>
      </c>
      <c r="H39" s="6" t="b">
        <v>0</v>
      </c>
      <c r="I39" s="5"/>
    </row>
    <row r="40" spans="1:9">
      <c r="A40" s="5" t="s">
        <v>89</v>
      </c>
      <c r="B40" s="5" t="s">
        <v>627</v>
      </c>
      <c r="C40" s="5">
        <v>29</v>
      </c>
      <c r="D40" s="5" t="s">
        <v>668</v>
      </c>
      <c r="E40" s="5" t="s">
        <v>159</v>
      </c>
      <c r="F40" s="5" t="s">
        <v>159</v>
      </c>
      <c r="G40" s="5" t="s">
        <v>160</v>
      </c>
      <c r="H40" s="6" t="b">
        <v>0</v>
      </c>
      <c r="I40" s="5"/>
    </row>
    <row r="41" spans="1:9">
      <c r="A41" s="5" t="s">
        <v>89</v>
      </c>
      <c r="B41" s="5" t="s">
        <v>627</v>
      </c>
      <c r="C41" s="5">
        <v>30</v>
      </c>
      <c r="D41" s="5" t="s">
        <v>669</v>
      </c>
      <c r="E41" s="5" t="s">
        <v>161</v>
      </c>
      <c r="F41" s="5" t="s">
        <v>161</v>
      </c>
      <c r="G41" s="5" t="s">
        <v>162</v>
      </c>
      <c r="H41" s="6" t="b">
        <v>0</v>
      </c>
      <c r="I41" s="5"/>
    </row>
    <row r="42" spans="1:9">
      <c r="A42" s="5" t="s">
        <v>89</v>
      </c>
      <c r="B42" s="5" t="s">
        <v>627</v>
      </c>
      <c r="C42" s="5">
        <v>31</v>
      </c>
      <c r="D42" s="5" t="s">
        <v>670</v>
      </c>
      <c r="E42" s="5" t="s">
        <v>163</v>
      </c>
      <c r="F42" s="5" t="s">
        <v>163</v>
      </c>
      <c r="G42" s="5" t="s">
        <v>164</v>
      </c>
      <c r="H42" s="6" t="b">
        <v>0</v>
      </c>
      <c r="I42" s="5"/>
    </row>
    <row r="43" spans="1:9">
      <c r="A43" s="5" t="s">
        <v>89</v>
      </c>
      <c r="B43" s="5" t="s">
        <v>627</v>
      </c>
      <c r="C43" s="5">
        <v>32</v>
      </c>
      <c r="D43" s="5" t="s">
        <v>671</v>
      </c>
      <c r="E43" s="5" t="s">
        <v>165</v>
      </c>
      <c r="F43" s="5" t="s">
        <v>165</v>
      </c>
      <c r="G43" s="5" t="s">
        <v>166</v>
      </c>
      <c r="H43" s="6" t="b">
        <v>0</v>
      </c>
      <c r="I43" s="5"/>
    </row>
    <row r="44" spans="1:9">
      <c r="A44" s="5" t="s">
        <v>89</v>
      </c>
      <c r="B44" s="5" t="s">
        <v>627</v>
      </c>
      <c r="C44" s="5">
        <v>33</v>
      </c>
      <c r="D44" s="5" t="s">
        <v>672</v>
      </c>
      <c r="E44" s="5" t="s">
        <v>167</v>
      </c>
      <c r="F44" s="5" t="s">
        <v>167</v>
      </c>
      <c r="G44" s="5" t="s">
        <v>168</v>
      </c>
      <c r="H44" s="6" t="b">
        <v>0</v>
      </c>
      <c r="I44" s="5"/>
    </row>
    <row r="45" spans="1:9">
      <c r="A45" s="5" t="s">
        <v>89</v>
      </c>
      <c r="B45" s="5" t="s">
        <v>627</v>
      </c>
      <c r="C45" s="5">
        <v>34</v>
      </c>
      <c r="D45" s="5" t="s">
        <v>673</v>
      </c>
      <c r="E45" s="5" t="s">
        <v>169</v>
      </c>
      <c r="F45" s="5" t="s">
        <v>169</v>
      </c>
      <c r="G45" s="5" t="s">
        <v>170</v>
      </c>
      <c r="H45" s="6" t="b">
        <v>0</v>
      </c>
      <c r="I45" s="5"/>
    </row>
    <row r="46" spans="1:9">
      <c r="A46" s="5" t="s">
        <v>89</v>
      </c>
      <c r="B46" s="5" t="s">
        <v>627</v>
      </c>
      <c r="C46" s="5">
        <v>35</v>
      </c>
      <c r="D46" s="5" t="s">
        <v>675</v>
      </c>
      <c r="E46" s="5" t="s">
        <v>172</v>
      </c>
      <c r="F46" s="5" t="s">
        <v>172</v>
      </c>
      <c r="G46" s="5" t="s">
        <v>173</v>
      </c>
      <c r="H46" s="6" t="b">
        <v>0</v>
      </c>
      <c r="I46" s="5"/>
    </row>
    <row r="47" spans="1:9">
      <c r="A47" s="5" t="s">
        <v>89</v>
      </c>
      <c r="B47" s="5" t="s">
        <v>627</v>
      </c>
      <c r="C47" s="5">
        <v>36</v>
      </c>
      <c r="D47" s="5" t="s">
        <v>676</v>
      </c>
      <c r="E47" s="5" t="s">
        <v>174</v>
      </c>
      <c r="F47" s="5" t="s">
        <v>174</v>
      </c>
      <c r="G47" s="5" t="s">
        <v>175</v>
      </c>
      <c r="H47" s="6" t="b">
        <v>0</v>
      </c>
      <c r="I47" s="5"/>
    </row>
    <row r="48" spans="1:9">
      <c r="A48" s="5" t="s">
        <v>89</v>
      </c>
      <c r="B48" s="5" t="s">
        <v>627</v>
      </c>
      <c r="C48" s="5">
        <v>37</v>
      </c>
      <c r="D48" s="5" t="s">
        <v>677</v>
      </c>
      <c r="E48" s="5" t="s">
        <v>176</v>
      </c>
      <c r="F48" s="5" t="s">
        <v>176</v>
      </c>
      <c r="G48" s="5" t="s">
        <v>177</v>
      </c>
      <c r="H48" s="6" t="b">
        <v>0</v>
      </c>
      <c r="I48" s="5"/>
    </row>
    <row r="49" spans="1:9">
      <c r="A49" s="5" t="s">
        <v>89</v>
      </c>
      <c r="B49" s="5" t="s">
        <v>627</v>
      </c>
      <c r="C49" s="5">
        <v>38</v>
      </c>
      <c r="D49" s="5" t="s">
        <v>678</v>
      </c>
      <c r="E49" s="5" t="s">
        <v>178</v>
      </c>
      <c r="F49" s="5" t="s">
        <v>178</v>
      </c>
      <c r="G49" s="5" t="s">
        <v>179</v>
      </c>
      <c r="H49" s="6" t="b">
        <v>0</v>
      </c>
      <c r="I49" s="5"/>
    </row>
    <row r="50" spans="1:9">
      <c r="A50" s="5" t="s">
        <v>89</v>
      </c>
      <c r="B50" s="5" t="s">
        <v>627</v>
      </c>
      <c r="C50" s="5">
        <v>39</v>
      </c>
      <c r="D50" s="5" t="s">
        <v>679</v>
      </c>
      <c r="E50" s="5" t="s">
        <v>180</v>
      </c>
      <c r="F50" s="5" t="s">
        <v>180</v>
      </c>
      <c r="G50" s="5" t="s">
        <v>181</v>
      </c>
      <c r="H50" s="6" t="b">
        <v>0</v>
      </c>
      <c r="I50" s="5"/>
    </row>
    <row r="51" spans="1:9">
      <c r="A51" s="5" t="s">
        <v>89</v>
      </c>
      <c r="B51" s="5" t="s">
        <v>627</v>
      </c>
      <c r="C51" s="5">
        <v>40</v>
      </c>
      <c r="D51" s="5" t="s">
        <v>680</v>
      </c>
      <c r="E51" s="5" t="s">
        <v>182</v>
      </c>
      <c r="F51" s="5" t="s">
        <v>182</v>
      </c>
      <c r="G51" s="5" t="s">
        <v>183</v>
      </c>
      <c r="H51" s="6" t="b">
        <v>0</v>
      </c>
      <c r="I51" s="5"/>
    </row>
    <row r="52" spans="1:9">
      <c r="A52" s="5" t="s">
        <v>89</v>
      </c>
      <c r="B52" s="5" t="s">
        <v>627</v>
      </c>
      <c r="C52" s="5">
        <v>41</v>
      </c>
      <c r="D52" s="5" t="s">
        <v>681</v>
      </c>
      <c r="E52" s="5" t="s">
        <v>184</v>
      </c>
      <c r="F52" s="5" t="s">
        <v>184</v>
      </c>
      <c r="G52" s="5" t="s">
        <v>185</v>
      </c>
      <c r="H52" s="6" t="b">
        <v>0</v>
      </c>
      <c r="I52" s="5"/>
    </row>
    <row r="53" spans="1:9">
      <c r="A53" s="5" t="s">
        <v>89</v>
      </c>
      <c r="B53" s="5" t="s">
        <v>627</v>
      </c>
      <c r="C53" s="5">
        <v>42</v>
      </c>
      <c r="D53" s="5" t="s">
        <v>682</v>
      </c>
      <c r="E53" s="5" t="s">
        <v>186</v>
      </c>
      <c r="F53" s="5" t="s">
        <v>186</v>
      </c>
      <c r="G53" s="5" t="s">
        <v>187</v>
      </c>
      <c r="H53" s="6" t="b">
        <v>0</v>
      </c>
      <c r="I53" s="5"/>
    </row>
    <row r="54" spans="1:9">
      <c r="A54" s="5" t="s">
        <v>89</v>
      </c>
      <c r="B54" s="5" t="s">
        <v>627</v>
      </c>
      <c r="C54" s="5">
        <v>43</v>
      </c>
      <c r="D54" s="5" t="s">
        <v>683</v>
      </c>
      <c r="E54" s="5" t="s">
        <v>188</v>
      </c>
      <c r="F54" s="5" t="s">
        <v>188</v>
      </c>
      <c r="G54" s="5" t="s">
        <v>189</v>
      </c>
      <c r="H54" s="6" t="b">
        <v>1</v>
      </c>
      <c r="I54" s="5"/>
    </row>
    <row r="55" spans="1:9">
      <c r="A55" s="5" t="s">
        <v>89</v>
      </c>
      <c r="B55" s="5" t="s">
        <v>639</v>
      </c>
      <c r="C55" s="5">
        <v>1</v>
      </c>
      <c r="D55" s="5" t="s">
        <v>649</v>
      </c>
      <c r="E55" s="5" t="s">
        <v>116</v>
      </c>
      <c r="F55" s="5" t="s">
        <v>116</v>
      </c>
      <c r="G55" s="5" t="s">
        <v>117</v>
      </c>
      <c r="H55" s="6" t="b">
        <v>1</v>
      </c>
      <c r="I55" s="5"/>
    </row>
    <row r="56" spans="1:9">
      <c r="A56" s="5" t="s">
        <v>89</v>
      </c>
      <c r="B56" s="5" t="s">
        <v>639</v>
      </c>
      <c r="C56" s="5">
        <v>2</v>
      </c>
      <c r="D56" s="5" t="s">
        <v>684</v>
      </c>
      <c r="E56" s="5" t="s">
        <v>190</v>
      </c>
      <c r="F56" s="5" t="s">
        <v>190</v>
      </c>
      <c r="G56" s="5" t="s">
        <v>191</v>
      </c>
      <c r="H56" s="6" t="b">
        <v>0</v>
      </c>
      <c r="I56" s="5"/>
    </row>
    <row r="57" spans="1:9">
      <c r="A57" s="5" t="s">
        <v>89</v>
      </c>
      <c r="B57" s="5" t="s">
        <v>639</v>
      </c>
      <c r="C57" s="5">
        <v>3</v>
      </c>
      <c r="D57" s="5" t="s">
        <v>685</v>
      </c>
      <c r="E57" s="5" t="s">
        <v>193</v>
      </c>
      <c r="F57" s="5" t="s">
        <v>193</v>
      </c>
      <c r="G57" s="5" t="s">
        <v>194</v>
      </c>
      <c r="H57" s="6" t="b">
        <v>0</v>
      </c>
      <c r="I57" s="5"/>
    </row>
    <row r="58" spans="1:9">
      <c r="A58" s="5" t="s">
        <v>89</v>
      </c>
      <c r="B58" s="5" t="s">
        <v>639</v>
      </c>
      <c r="C58" s="5">
        <v>4</v>
      </c>
      <c r="D58" s="5" t="s">
        <v>686</v>
      </c>
      <c r="E58" s="5" t="s">
        <v>195</v>
      </c>
      <c r="F58" s="5" t="s">
        <v>195</v>
      </c>
      <c r="G58" s="5" t="s">
        <v>196</v>
      </c>
      <c r="H58" s="6" t="b">
        <v>0</v>
      </c>
      <c r="I58" s="5"/>
    </row>
    <row r="59" spans="1:9">
      <c r="A59" s="5" t="s">
        <v>89</v>
      </c>
      <c r="B59" s="5" t="s">
        <v>639</v>
      </c>
      <c r="C59" s="5">
        <v>5</v>
      </c>
      <c r="D59" s="5" t="s">
        <v>638</v>
      </c>
      <c r="E59" s="5" t="s">
        <v>79</v>
      </c>
      <c r="F59" s="5" t="s">
        <v>79</v>
      </c>
      <c r="G59" s="5" t="s">
        <v>80</v>
      </c>
      <c r="H59" s="6" t="b">
        <v>1</v>
      </c>
      <c r="I59" s="5"/>
    </row>
    <row r="60" spans="1:9">
      <c r="A60" s="5" t="s">
        <v>89</v>
      </c>
      <c r="B60" s="5" t="s">
        <v>688</v>
      </c>
      <c r="C60" s="5">
        <v>1</v>
      </c>
      <c r="D60" s="5" t="s">
        <v>673</v>
      </c>
      <c r="E60" s="5" t="s">
        <v>169</v>
      </c>
      <c r="F60" s="5" t="s">
        <v>169</v>
      </c>
      <c r="G60" s="5" t="s">
        <v>170</v>
      </c>
      <c r="H60" s="6" t="b">
        <v>1</v>
      </c>
      <c r="I60" s="5"/>
    </row>
    <row r="61" spans="1:9">
      <c r="A61" s="5" t="s">
        <v>89</v>
      </c>
      <c r="B61" s="5" t="s">
        <v>688</v>
      </c>
      <c r="C61" s="5">
        <v>2</v>
      </c>
      <c r="D61" s="5" t="s">
        <v>687</v>
      </c>
      <c r="E61" s="5" t="s">
        <v>197</v>
      </c>
      <c r="F61" s="5" t="s">
        <v>197</v>
      </c>
      <c r="G61" s="5" t="s">
        <v>198</v>
      </c>
      <c r="H61" s="6" t="b">
        <v>0</v>
      </c>
      <c r="I61" s="5"/>
    </row>
    <row r="62" spans="1:9">
      <c r="A62" s="5" t="s">
        <v>89</v>
      </c>
      <c r="B62" s="5" t="s">
        <v>688</v>
      </c>
      <c r="C62" s="5">
        <v>3</v>
      </c>
      <c r="D62" s="5" t="s">
        <v>689</v>
      </c>
      <c r="E62" s="5" t="s">
        <v>200</v>
      </c>
      <c r="F62" s="5" t="s">
        <v>200</v>
      </c>
      <c r="G62" s="5" t="s">
        <v>201</v>
      </c>
      <c r="H62" s="6" t="b">
        <v>0</v>
      </c>
      <c r="I62" s="5"/>
    </row>
    <row r="63" spans="1:9">
      <c r="A63" s="5" t="s">
        <v>89</v>
      </c>
      <c r="B63" s="5" t="s">
        <v>688</v>
      </c>
      <c r="C63" s="5">
        <v>4</v>
      </c>
      <c r="D63" s="5" t="s">
        <v>690</v>
      </c>
      <c r="E63" s="5" t="s">
        <v>202</v>
      </c>
      <c r="F63" s="5" t="s">
        <v>202</v>
      </c>
      <c r="G63" s="5" t="s">
        <v>203</v>
      </c>
      <c r="H63" s="6" t="b">
        <v>0</v>
      </c>
      <c r="I63" s="5"/>
    </row>
    <row r="64" spans="1:9">
      <c r="A64" s="5" t="s">
        <v>89</v>
      </c>
      <c r="B64" s="5" t="s">
        <v>688</v>
      </c>
      <c r="C64" s="5">
        <v>5</v>
      </c>
      <c r="D64" s="5" t="s">
        <v>691</v>
      </c>
      <c r="E64" s="5" t="s">
        <v>204</v>
      </c>
      <c r="F64" s="5" t="s">
        <v>204</v>
      </c>
      <c r="G64" s="5" t="s">
        <v>205</v>
      </c>
      <c r="H64" s="6" t="b">
        <v>1</v>
      </c>
      <c r="I64" s="5"/>
    </row>
    <row r="65" spans="1:9">
      <c r="A65" s="5" t="s">
        <v>209</v>
      </c>
      <c r="B65" s="5" t="s">
        <v>627</v>
      </c>
      <c r="C65" s="5">
        <v>1</v>
      </c>
      <c r="D65" s="5" t="s">
        <v>695</v>
      </c>
      <c r="E65" s="5" t="s">
        <v>207</v>
      </c>
      <c r="F65" s="5" t="s">
        <v>207</v>
      </c>
      <c r="G65" s="5" t="s">
        <v>208</v>
      </c>
      <c r="H65" s="6" t="b">
        <v>1</v>
      </c>
      <c r="I65" s="5"/>
    </row>
    <row r="66" spans="1:9">
      <c r="A66" s="5" t="s">
        <v>209</v>
      </c>
      <c r="B66" s="5" t="s">
        <v>627</v>
      </c>
      <c r="C66" s="5">
        <v>2</v>
      </c>
      <c r="D66" s="5" t="s">
        <v>696</v>
      </c>
      <c r="E66" s="5" t="s">
        <v>211</v>
      </c>
      <c r="F66" s="5" t="s">
        <v>211</v>
      </c>
      <c r="G66" s="5" t="s">
        <v>212</v>
      </c>
      <c r="H66" s="6" t="b">
        <v>0</v>
      </c>
      <c r="I66" s="5"/>
    </row>
    <row r="67" spans="1:9">
      <c r="A67" s="5" t="s">
        <v>209</v>
      </c>
      <c r="B67" s="5" t="s">
        <v>627</v>
      </c>
      <c r="C67" s="5">
        <v>3</v>
      </c>
      <c r="D67" s="5" t="s">
        <v>697</v>
      </c>
      <c r="E67" s="5" t="s">
        <v>213</v>
      </c>
      <c r="F67" s="5" t="s">
        <v>213</v>
      </c>
      <c r="G67" s="5" t="s">
        <v>214</v>
      </c>
      <c r="H67" s="6" t="b">
        <v>0</v>
      </c>
      <c r="I67" s="5"/>
    </row>
    <row r="68" spans="1:9">
      <c r="A68" s="5" t="s">
        <v>209</v>
      </c>
      <c r="B68" s="5" t="s">
        <v>627</v>
      </c>
      <c r="C68" s="5">
        <v>4</v>
      </c>
      <c r="D68" s="5" t="s">
        <v>698</v>
      </c>
      <c r="E68" s="5" t="s">
        <v>217</v>
      </c>
      <c r="F68" s="5" t="s">
        <v>217</v>
      </c>
      <c r="G68" s="5" t="s">
        <v>218</v>
      </c>
      <c r="H68" s="6" t="b">
        <v>0</v>
      </c>
      <c r="I68" s="5"/>
    </row>
    <row r="69" spans="1:9">
      <c r="A69" s="5" t="s">
        <v>209</v>
      </c>
      <c r="B69" s="5" t="s">
        <v>627</v>
      </c>
      <c r="C69" s="5">
        <v>5</v>
      </c>
      <c r="D69" s="5" t="s">
        <v>699</v>
      </c>
      <c r="E69" s="5" t="s">
        <v>219</v>
      </c>
      <c r="F69" s="5" t="s">
        <v>219</v>
      </c>
      <c r="G69" s="5" t="s">
        <v>220</v>
      </c>
      <c r="H69" s="6" t="b">
        <v>0</v>
      </c>
      <c r="I69" s="5"/>
    </row>
    <row r="70" spans="1:9">
      <c r="A70" s="5" t="s">
        <v>209</v>
      </c>
      <c r="B70" s="5" t="s">
        <v>627</v>
      </c>
      <c r="C70" s="5">
        <v>6</v>
      </c>
      <c r="D70" s="5" t="s">
        <v>700</v>
      </c>
      <c r="E70" s="5" t="s">
        <v>221</v>
      </c>
      <c r="F70" s="5" t="s">
        <v>221</v>
      </c>
      <c r="G70" s="5" t="s">
        <v>222</v>
      </c>
      <c r="H70" s="6" t="b">
        <v>0</v>
      </c>
      <c r="I70" s="5"/>
    </row>
    <row r="71" spans="1:9">
      <c r="A71" s="5" t="s">
        <v>209</v>
      </c>
      <c r="B71" s="5" t="s">
        <v>627</v>
      </c>
      <c r="C71" s="5">
        <v>7</v>
      </c>
      <c r="D71" s="5" t="s">
        <v>701</v>
      </c>
      <c r="E71" s="5" t="s">
        <v>223</v>
      </c>
      <c r="F71" s="5" t="s">
        <v>223</v>
      </c>
      <c r="G71" s="5" t="s">
        <v>224</v>
      </c>
      <c r="H71" s="6" t="b">
        <v>0</v>
      </c>
      <c r="I71" s="5"/>
    </row>
    <row r="72" spans="1:9">
      <c r="A72" s="5" t="s">
        <v>209</v>
      </c>
      <c r="B72" s="5" t="s">
        <v>627</v>
      </c>
      <c r="C72" s="5">
        <v>8</v>
      </c>
      <c r="D72" s="5" t="s">
        <v>702</v>
      </c>
      <c r="E72" s="5" t="s">
        <v>225</v>
      </c>
      <c r="F72" s="5" t="s">
        <v>225</v>
      </c>
      <c r="G72" s="5" t="s">
        <v>226</v>
      </c>
      <c r="H72" s="6" t="b">
        <v>0</v>
      </c>
      <c r="I72" s="5"/>
    </row>
    <row r="73" spans="1:9">
      <c r="A73" s="5" t="s">
        <v>209</v>
      </c>
      <c r="B73" s="5" t="s">
        <v>627</v>
      </c>
      <c r="C73" s="5">
        <v>9</v>
      </c>
      <c r="D73" s="5" t="s">
        <v>703</v>
      </c>
      <c r="E73" s="5" t="s">
        <v>227</v>
      </c>
      <c r="F73" s="5" t="s">
        <v>227</v>
      </c>
      <c r="G73" s="5" t="s">
        <v>228</v>
      </c>
      <c r="H73" s="6" t="b">
        <v>0</v>
      </c>
      <c r="I73" s="5" t="s">
        <v>229</v>
      </c>
    </row>
    <row r="74" spans="1:9">
      <c r="A74" s="5" t="s">
        <v>209</v>
      </c>
      <c r="B74" s="5" t="s">
        <v>627</v>
      </c>
      <c r="C74" s="5">
        <v>10</v>
      </c>
      <c r="D74" s="5" t="s">
        <v>704</v>
      </c>
      <c r="E74" s="5" t="s">
        <v>230</v>
      </c>
      <c r="F74" s="5" t="s">
        <v>230</v>
      </c>
      <c r="G74" s="5" t="s">
        <v>231</v>
      </c>
      <c r="H74" s="6" t="b">
        <v>0</v>
      </c>
      <c r="I74" s="5"/>
    </row>
    <row r="75" spans="1:9">
      <c r="A75" s="5" t="s">
        <v>209</v>
      </c>
      <c r="B75" s="5" t="s">
        <v>627</v>
      </c>
      <c r="C75" s="5">
        <v>11</v>
      </c>
      <c r="D75" s="5" t="s">
        <v>692</v>
      </c>
      <c r="E75" s="5" t="s">
        <v>67</v>
      </c>
      <c r="F75" s="5" t="s">
        <v>67</v>
      </c>
      <c r="G75" s="5" t="s">
        <v>68</v>
      </c>
      <c r="H75" s="6" t="b">
        <v>0</v>
      </c>
      <c r="I75" s="5"/>
    </row>
    <row r="76" spans="1:9">
      <c r="A76" s="5" t="s">
        <v>209</v>
      </c>
      <c r="B76" s="5" t="s">
        <v>627</v>
      </c>
      <c r="C76" s="5">
        <v>12</v>
      </c>
      <c r="D76" s="5" t="s">
        <v>693</v>
      </c>
      <c r="E76" s="5" t="s">
        <v>91</v>
      </c>
      <c r="F76" s="5" t="s">
        <v>91</v>
      </c>
      <c r="G76" s="5" t="s">
        <v>92</v>
      </c>
      <c r="H76" s="6" t="b">
        <v>0</v>
      </c>
      <c r="I76" s="5"/>
    </row>
    <row r="77" spans="1:9">
      <c r="A77" s="5" t="s">
        <v>209</v>
      </c>
      <c r="B77" s="5" t="s">
        <v>627</v>
      </c>
      <c r="C77" s="5">
        <v>13</v>
      </c>
      <c r="D77" s="5" t="s">
        <v>705</v>
      </c>
      <c r="E77" s="5" t="s">
        <v>232</v>
      </c>
      <c r="F77" s="5" t="s">
        <v>232</v>
      </c>
      <c r="G77" s="5" t="s">
        <v>233</v>
      </c>
      <c r="H77" s="6" t="b">
        <v>0</v>
      </c>
      <c r="I77" s="5"/>
    </row>
    <row r="78" spans="1:9">
      <c r="A78" s="5" t="s">
        <v>209</v>
      </c>
      <c r="B78" s="5" t="s">
        <v>627</v>
      </c>
      <c r="C78" s="5">
        <v>14</v>
      </c>
      <c r="D78" s="5" t="s">
        <v>706</v>
      </c>
      <c r="E78" s="5" t="s">
        <v>236</v>
      </c>
      <c r="F78" s="5" t="s">
        <v>236</v>
      </c>
      <c r="G78" s="5" t="s">
        <v>237</v>
      </c>
      <c r="H78" s="6" t="b">
        <v>0</v>
      </c>
      <c r="I78" s="5"/>
    </row>
    <row r="79" spans="1:9">
      <c r="A79" s="5" t="s">
        <v>209</v>
      </c>
      <c r="B79" s="5" t="s">
        <v>627</v>
      </c>
      <c r="C79" s="5">
        <v>15</v>
      </c>
      <c r="D79" s="5" t="s">
        <v>707</v>
      </c>
      <c r="E79" s="5" t="s">
        <v>238</v>
      </c>
      <c r="F79" s="5" t="s">
        <v>238</v>
      </c>
      <c r="G79" s="5" t="s">
        <v>239</v>
      </c>
      <c r="H79" s="6" t="b">
        <v>0</v>
      </c>
      <c r="I79" s="5"/>
    </row>
    <row r="80" spans="1:9">
      <c r="A80" s="5" t="s">
        <v>209</v>
      </c>
      <c r="B80" s="5" t="s">
        <v>627</v>
      </c>
      <c r="C80" s="5">
        <v>16</v>
      </c>
      <c r="D80" s="5" t="s">
        <v>708</v>
      </c>
      <c r="E80" s="5" t="s">
        <v>240</v>
      </c>
      <c r="F80" s="5" t="s">
        <v>240</v>
      </c>
      <c r="G80" s="5" t="s">
        <v>241</v>
      </c>
      <c r="H80" s="6" t="b">
        <v>0</v>
      </c>
      <c r="I80" s="5"/>
    </row>
    <row r="81" spans="1:9">
      <c r="A81" s="5" t="s">
        <v>209</v>
      </c>
      <c r="B81" s="5" t="s">
        <v>627</v>
      </c>
      <c r="C81" s="5">
        <v>17</v>
      </c>
      <c r="D81" s="5" t="s">
        <v>709</v>
      </c>
      <c r="E81" s="5" t="s">
        <v>242</v>
      </c>
      <c r="F81" s="5" t="s">
        <v>242</v>
      </c>
      <c r="G81" s="5" t="s">
        <v>243</v>
      </c>
      <c r="H81" s="6" t="b">
        <v>0</v>
      </c>
      <c r="I81" s="5"/>
    </row>
    <row r="82" spans="1:9">
      <c r="A82" s="5" t="s">
        <v>209</v>
      </c>
      <c r="B82" s="5" t="s">
        <v>627</v>
      </c>
      <c r="C82" s="5">
        <v>18</v>
      </c>
      <c r="D82" s="5" t="s">
        <v>710</v>
      </c>
      <c r="E82" s="5" t="s">
        <v>244</v>
      </c>
      <c r="F82" s="5" t="s">
        <v>244</v>
      </c>
      <c r="G82" s="5" t="s">
        <v>245</v>
      </c>
      <c r="H82" s="6" t="b">
        <v>0</v>
      </c>
      <c r="I82" s="5"/>
    </row>
    <row r="83" spans="1:9">
      <c r="A83" s="5" t="s">
        <v>209</v>
      </c>
      <c r="B83" s="5" t="s">
        <v>627</v>
      </c>
      <c r="C83" s="5">
        <v>19</v>
      </c>
      <c r="D83" s="5" t="s">
        <v>711</v>
      </c>
      <c r="E83" s="5" t="s">
        <v>246</v>
      </c>
      <c r="F83" s="5" t="s">
        <v>246</v>
      </c>
      <c r="G83" s="5" t="s">
        <v>247</v>
      </c>
      <c r="H83" s="6" t="b">
        <v>0</v>
      </c>
      <c r="I83" s="5"/>
    </row>
    <row r="84" spans="1:9">
      <c r="A84" s="5" t="s">
        <v>209</v>
      </c>
      <c r="B84" s="5" t="s">
        <v>627</v>
      </c>
      <c r="C84" s="5">
        <v>20</v>
      </c>
      <c r="D84" s="5" t="s">
        <v>712</v>
      </c>
      <c r="E84" s="5" t="s">
        <v>248</v>
      </c>
      <c r="F84" s="5" t="s">
        <v>248</v>
      </c>
      <c r="G84" s="5" t="s">
        <v>249</v>
      </c>
      <c r="H84" s="6" t="b">
        <v>0</v>
      </c>
      <c r="I84" s="5"/>
    </row>
    <row r="85" spans="1:9">
      <c r="A85" s="5" t="s">
        <v>209</v>
      </c>
      <c r="B85" s="5" t="s">
        <v>627</v>
      </c>
      <c r="C85" s="5">
        <v>21</v>
      </c>
      <c r="D85" s="5" t="s">
        <v>713</v>
      </c>
      <c r="E85" s="5" t="s">
        <v>250</v>
      </c>
      <c r="F85" s="5" t="s">
        <v>250</v>
      </c>
      <c r="G85" s="5" t="s">
        <v>251</v>
      </c>
      <c r="H85" s="6" t="b">
        <v>0</v>
      </c>
      <c r="I85" s="5"/>
    </row>
    <row r="86" spans="1:9">
      <c r="A86" s="5" t="s">
        <v>209</v>
      </c>
      <c r="B86" s="5" t="s">
        <v>627</v>
      </c>
      <c r="C86" s="5">
        <v>22</v>
      </c>
      <c r="D86" s="5" t="s">
        <v>694</v>
      </c>
      <c r="E86" s="5" t="s">
        <v>145</v>
      </c>
      <c r="F86" s="5" t="s">
        <v>145</v>
      </c>
      <c r="G86" s="5" t="s">
        <v>146</v>
      </c>
      <c r="H86" s="6" t="b">
        <v>0</v>
      </c>
      <c r="I86" s="5"/>
    </row>
    <row r="87" spans="1:9">
      <c r="A87" s="5" t="s">
        <v>209</v>
      </c>
      <c r="B87" s="5" t="s">
        <v>627</v>
      </c>
      <c r="C87" s="5">
        <v>23</v>
      </c>
      <c r="D87" s="5" t="s">
        <v>714</v>
      </c>
      <c r="E87" s="5" t="s">
        <v>254</v>
      </c>
      <c r="F87" s="5" t="s">
        <v>254</v>
      </c>
      <c r="G87" s="5" t="s">
        <v>255</v>
      </c>
      <c r="H87" s="6" t="b">
        <v>0</v>
      </c>
      <c r="I87" s="5"/>
    </row>
    <row r="88" spans="1:9">
      <c r="A88" s="5" t="s">
        <v>209</v>
      </c>
      <c r="B88" s="5" t="s">
        <v>627</v>
      </c>
      <c r="C88" s="5">
        <v>24</v>
      </c>
      <c r="D88" s="5" t="s">
        <v>715</v>
      </c>
      <c r="E88" s="5" t="s">
        <v>256</v>
      </c>
      <c r="F88" s="5" t="s">
        <v>256</v>
      </c>
      <c r="G88" s="5" t="s">
        <v>257</v>
      </c>
      <c r="H88" s="6" t="b">
        <v>0</v>
      </c>
      <c r="I88" s="5"/>
    </row>
    <row r="89" spans="1:9">
      <c r="A89" s="5" t="s">
        <v>209</v>
      </c>
      <c r="B89" s="5" t="s">
        <v>627</v>
      </c>
      <c r="C89" s="5">
        <v>25</v>
      </c>
      <c r="D89" s="5" t="s">
        <v>716</v>
      </c>
      <c r="E89" s="5" t="s">
        <v>258</v>
      </c>
      <c r="F89" s="5" t="s">
        <v>258</v>
      </c>
      <c r="G89" s="5" t="s">
        <v>259</v>
      </c>
      <c r="H89" s="6" t="b">
        <v>0</v>
      </c>
      <c r="I89" s="5"/>
    </row>
    <row r="90" spans="1:9">
      <c r="A90" s="5" t="s">
        <v>209</v>
      </c>
      <c r="B90" s="5" t="s">
        <v>627</v>
      </c>
      <c r="C90" s="5">
        <v>26</v>
      </c>
      <c r="D90" s="5" t="s">
        <v>717</v>
      </c>
      <c r="E90" s="5" t="s">
        <v>260</v>
      </c>
      <c r="F90" s="5" t="s">
        <v>260</v>
      </c>
      <c r="G90" s="5" t="s">
        <v>261</v>
      </c>
      <c r="H90" s="6" t="b">
        <v>0</v>
      </c>
      <c r="I90" s="5"/>
    </row>
    <row r="91" spans="1:9">
      <c r="A91" s="5" t="s">
        <v>209</v>
      </c>
      <c r="B91" s="5" t="s">
        <v>627</v>
      </c>
      <c r="C91" s="5">
        <v>27</v>
      </c>
      <c r="D91" s="5" t="s">
        <v>718</v>
      </c>
      <c r="E91" s="5" t="s">
        <v>262</v>
      </c>
      <c r="F91" s="5" t="s">
        <v>262</v>
      </c>
      <c r="G91" s="5" t="s">
        <v>263</v>
      </c>
      <c r="H91" s="6" t="b">
        <v>0</v>
      </c>
      <c r="I91" s="5"/>
    </row>
    <row r="92" spans="1:9">
      <c r="A92" s="5" t="s">
        <v>209</v>
      </c>
      <c r="B92" s="5" t="s">
        <v>627</v>
      </c>
      <c r="C92" s="5">
        <v>28</v>
      </c>
      <c r="D92" s="5" t="s">
        <v>719</v>
      </c>
      <c r="E92" s="5" t="s">
        <v>264</v>
      </c>
      <c r="F92" s="5" t="s">
        <v>264</v>
      </c>
      <c r="G92" s="5" t="s">
        <v>265</v>
      </c>
      <c r="H92" s="6" t="b">
        <v>0</v>
      </c>
      <c r="I92" s="5"/>
    </row>
    <row r="93" spans="1:9">
      <c r="A93" s="5" t="s">
        <v>209</v>
      </c>
      <c r="B93" s="5" t="s">
        <v>627</v>
      </c>
      <c r="C93" s="5">
        <v>29</v>
      </c>
      <c r="D93" s="5" t="s">
        <v>720</v>
      </c>
      <c r="E93" s="5" t="s">
        <v>266</v>
      </c>
      <c r="F93" s="5" t="s">
        <v>266</v>
      </c>
      <c r="G93" s="5" t="s">
        <v>267</v>
      </c>
      <c r="H93" s="6" t="b">
        <v>0</v>
      </c>
      <c r="I93" s="5"/>
    </row>
    <row r="94" spans="1:9">
      <c r="A94" s="5" t="s">
        <v>209</v>
      </c>
      <c r="B94" s="5" t="s">
        <v>627</v>
      </c>
      <c r="C94" s="5">
        <v>30</v>
      </c>
      <c r="D94" s="5" t="s">
        <v>721</v>
      </c>
      <c r="E94" s="5" t="s">
        <v>268</v>
      </c>
      <c r="F94" s="5" t="s">
        <v>268</v>
      </c>
      <c r="G94" s="5" t="s">
        <v>269</v>
      </c>
      <c r="H94" s="6" t="b">
        <v>0</v>
      </c>
      <c r="I94" s="5"/>
    </row>
    <row r="95" spans="1:9">
      <c r="A95" s="5" t="s">
        <v>209</v>
      </c>
      <c r="B95" s="5" t="s">
        <v>627</v>
      </c>
      <c r="C95" s="5">
        <v>31</v>
      </c>
      <c r="D95" s="5" t="s">
        <v>722</v>
      </c>
      <c r="E95" s="5" t="s">
        <v>270</v>
      </c>
      <c r="F95" s="5" t="s">
        <v>270</v>
      </c>
      <c r="G95" s="5" t="s">
        <v>271</v>
      </c>
      <c r="H95" s="6" t="b">
        <v>0</v>
      </c>
      <c r="I95" s="5"/>
    </row>
    <row r="96" spans="1:9">
      <c r="A96" s="5" t="s">
        <v>209</v>
      </c>
      <c r="B96" s="5" t="s">
        <v>627</v>
      </c>
      <c r="C96" s="5">
        <v>32</v>
      </c>
      <c r="D96" s="5" t="s">
        <v>723</v>
      </c>
      <c r="E96" s="5" t="s">
        <v>272</v>
      </c>
      <c r="F96" s="5" t="s">
        <v>272</v>
      </c>
      <c r="G96" s="5" t="s">
        <v>273</v>
      </c>
      <c r="H96" s="6" t="b">
        <v>0</v>
      </c>
      <c r="I96" s="5"/>
    </row>
    <row r="97" spans="1:9">
      <c r="A97" s="5" t="s">
        <v>209</v>
      </c>
      <c r="B97" s="5" t="s">
        <v>627</v>
      </c>
      <c r="C97" s="5">
        <v>33</v>
      </c>
      <c r="D97" s="5" t="s">
        <v>724</v>
      </c>
      <c r="E97" s="5" t="s">
        <v>276</v>
      </c>
      <c r="F97" s="5" t="s">
        <v>276</v>
      </c>
      <c r="G97" s="5" t="s">
        <v>277</v>
      </c>
      <c r="H97" s="6" t="b">
        <v>0</v>
      </c>
      <c r="I97" s="5"/>
    </row>
    <row r="98" spans="1:9">
      <c r="A98" s="5" t="s">
        <v>209</v>
      </c>
      <c r="B98" s="5" t="s">
        <v>627</v>
      </c>
      <c r="C98" s="5">
        <v>34</v>
      </c>
      <c r="D98" s="5" t="s">
        <v>725</v>
      </c>
      <c r="E98" s="5" t="s">
        <v>278</v>
      </c>
      <c r="F98" s="5" t="s">
        <v>278</v>
      </c>
      <c r="G98" s="5" t="s">
        <v>279</v>
      </c>
      <c r="H98" s="6" t="b">
        <v>1</v>
      </c>
      <c r="I98" s="5"/>
    </row>
    <row r="99" spans="1:9">
      <c r="A99" s="5" t="s">
        <v>284</v>
      </c>
      <c r="B99" s="5" t="s">
        <v>627</v>
      </c>
      <c r="C99" s="5">
        <v>1</v>
      </c>
      <c r="D99" s="5" t="s">
        <v>731</v>
      </c>
      <c r="E99" s="5" t="s">
        <v>282</v>
      </c>
      <c r="F99" s="5" t="s">
        <v>282</v>
      </c>
      <c r="G99" s="5" t="s">
        <v>283</v>
      </c>
      <c r="H99" s="6" t="b">
        <v>1</v>
      </c>
      <c r="I99" s="5" t="s">
        <v>286</v>
      </c>
    </row>
    <row r="100" spans="1:9">
      <c r="A100" s="5" t="s">
        <v>284</v>
      </c>
      <c r="B100" s="5" t="s">
        <v>627</v>
      </c>
      <c r="C100" s="5">
        <v>2</v>
      </c>
      <c r="D100" s="5" t="s">
        <v>732</v>
      </c>
      <c r="E100" s="5" t="s">
        <v>287</v>
      </c>
      <c r="F100" s="5" t="s">
        <v>287</v>
      </c>
      <c r="G100" s="5" t="s">
        <v>288</v>
      </c>
      <c r="H100" s="6" t="b">
        <v>0</v>
      </c>
      <c r="I100" s="5"/>
    </row>
    <row r="101" spans="1:9">
      <c r="A101" s="5" t="s">
        <v>284</v>
      </c>
      <c r="B101" s="5" t="s">
        <v>627</v>
      </c>
      <c r="C101" s="5">
        <v>3</v>
      </c>
      <c r="D101" s="5" t="s">
        <v>733</v>
      </c>
      <c r="E101" s="5" t="s">
        <v>289</v>
      </c>
      <c r="F101" s="5" t="s">
        <v>289</v>
      </c>
      <c r="G101" s="5" t="s">
        <v>290</v>
      </c>
      <c r="H101" s="6" t="b">
        <v>0</v>
      </c>
      <c r="I101" s="5"/>
    </row>
    <row r="102" spans="1:9">
      <c r="A102" s="5" t="s">
        <v>284</v>
      </c>
      <c r="B102" s="5" t="s">
        <v>627</v>
      </c>
      <c r="C102" s="5">
        <v>4</v>
      </c>
      <c r="D102" s="5" t="s">
        <v>734</v>
      </c>
      <c r="E102" s="5" t="s">
        <v>293</v>
      </c>
      <c r="F102" s="5" t="s">
        <v>293</v>
      </c>
      <c r="G102" s="5" t="s">
        <v>294</v>
      </c>
      <c r="H102" s="6" t="b">
        <v>0</v>
      </c>
      <c r="I102" s="5"/>
    </row>
    <row r="103" spans="1:9">
      <c r="A103" s="5" t="s">
        <v>284</v>
      </c>
      <c r="B103" s="5" t="s">
        <v>627</v>
      </c>
      <c r="C103" s="5">
        <v>5</v>
      </c>
      <c r="D103" s="5" t="s">
        <v>735</v>
      </c>
      <c r="E103" s="5" t="s">
        <v>295</v>
      </c>
      <c r="F103" s="5" t="s">
        <v>295</v>
      </c>
      <c r="G103" s="5" t="s">
        <v>296</v>
      </c>
      <c r="H103" s="6" t="b">
        <v>0</v>
      </c>
      <c r="I103" s="5"/>
    </row>
    <row r="104" spans="1:9">
      <c r="A104" s="5" t="s">
        <v>284</v>
      </c>
      <c r="B104" s="5" t="s">
        <v>627</v>
      </c>
      <c r="C104" s="5">
        <v>6</v>
      </c>
      <c r="D104" s="5" t="s">
        <v>736</v>
      </c>
      <c r="E104" s="5" t="s">
        <v>297</v>
      </c>
      <c r="F104" s="5" t="s">
        <v>297</v>
      </c>
      <c r="G104" s="5" t="s">
        <v>298</v>
      </c>
      <c r="H104" s="6" t="b">
        <v>0</v>
      </c>
      <c r="I104" s="5"/>
    </row>
    <row r="105" spans="1:9">
      <c r="A105" s="5" t="s">
        <v>284</v>
      </c>
      <c r="B105" s="5" t="s">
        <v>627</v>
      </c>
      <c r="C105" s="5">
        <v>7</v>
      </c>
      <c r="D105" s="5" t="s">
        <v>737</v>
      </c>
      <c r="E105" s="5" t="s">
        <v>299</v>
      </c>
      <c r="F105" s="5" t="s">
        <v>299</v>
      </c>
      <c r="G105" s="5" t="s">
        <v>300</v>
      </c>
      <c r="H105" s="6" t="b">
        <v>0</v>
      </c>
      <c r="I105" s="5"/>
    </row>
    <row r="106" spans="1:9">
      <c r="A106" s="5" t="s">
        <v>284</v>
      </c>
      <c r="B106" s="5" t="s">
        <v>627</v>
      </c>
      <c r="C106" s="5">
        <v>8</v>
      </c>
      <c r="D106" s="5" t="s">
        <v>738</v>
      </c>
      <c r="E106" s="5" t="s">
        <v>301</v>
      </c>
      <c r="F106" s="5" t="s">
        <v>301</v>
      </c>
      <c r="G106" s="5" t="s">
        <v>302</v>
      </c>
      <c r="H106" s="6" t="b">
        <v>0</v>
      </c>
      <c r="I106" s="5"/>
    </row>
    <row r="107" spans="1:9">
      <c r="A107" s="5" t="s">
        <v>284</v>
      </c>
      <c r="B107" s="5" t="s">
        <v>627</v>
      </c>
      <c r="C107" s="5">
        <v>9</v>
      </c>
      <c r="D107" s="5" t="s">
        <v>739</v>
      </c>
      <c r="E107" s="5" t="s">
        <v>303</v>
      </c>
      <c r="F107" s="5" t="s">
        <v>303</v>
      </c>
      <c r="G107" s="5" t="s">
        <v>304</v>
      </c>
      <c r="H107" s="6" t="b">
        <v>0</v>
      </c>
      <c r="I107" s="5"/>
    </row>
    <row r="108" spans="1:9">
      <c r="A108" s="5" t="s">
        <v>284</v>
      </c>
      <c r="B108" s="5" t="s">
        <v>627</v>
      </c>
      <c r="C108" s="5">
        <v>10</v>
      </c>
      <c r="D108" s="5" t="s">
        <v>740</v>
      </c>
      <c r="E108" s="5" t="s">
        <v>305</v>
      </c>
      <c r="F108" s="5" t="s">
        <v>305</v>
      </c>
      <c r="G108" s="5" t="s">
        <v>306</v>
      </c>
      <c r="H108" s="6" t="b">
        <v>0</v>
      </c>
      <c r="I108" s="5"/>
    </row>
    <row r="109" spans="1:9">
      <c r="A109" s="5" t="s">
        <v>284</v>
      </c>
      <c r="B109" s="5" t="s">
        <v>627</v>
      </c>
      <c r="C109" s="5">
        <v>11</v>
      </c>
      <c r="D109" s="5" t="s">
        <v>741</v>
      </c>
      <c r="E109" s="5" t="s">
        <v>307</v>
      </c>
      <c r="F109" s="5" t="s">
        <v>307</v>
      </c>
      <c r="G109" s="5" t="s">
        <v>308</v>
      </c>
      <c r="H109" s="6" t="b">
        <v>0</v>
      </c>
      <c r="I109" s="5"/>
    </row>
    <row r="110" spans="1:9">
      <c r="A110" s="5" t="s">
        <v>284</v>
      </c>
      <c r="B110" s="5" t="s">
        <v>627</v>
      </c>
      <c r="C110" s="5">
        <v>12</v>
      </c>
      <c r="D110" s="5" t="s">
        <v>742</v>
      </c>
      <c r="E110" s="5" t="s">
        <v>309</v>
      </c>
      <c r="F110" s="5" t="s">
        <v>309</v>
      </c>
      <c r="G110" s="5" t="s">
        <v>310</v>
      </c>
      <c r="H110" s="6" t="b">
        <v>0</v>
      </c>
      <c r="I110" s="5"/>
    </row>
    <row r="111" spans="1:9">
      <c r="A111" s="5" t="s">
        <v>284</v>
      </c>
      <c r="B111" s="5" t="s">
        <v>627</v>
      </c>
      <c r="C111" s="5">
        <v>13</v>
      </c>
      <c r="D111" s="5" t="s">
        <v>727</v>
      </c>
      <c r="E111" s="5" t="s">
        <v>73</v>
      </c>
      <c r="F111" s="5" t="s">
        <v>73</v>
      </c>
      <c r="G111" s="5" t="s">
        <v>74</v>
      </c>
      <c r="H111" s="6" t="b">
        <v>0</v>
      </c>
      <c r="I111" s="5"/>
    </row>
    <row r="112" spans="1:9">
      <c r="A112" s="5" t="s">
        <v>284</v>
      </c>
      <c r="B112" s="5" t="s">
        <v>627</v>
      </c>
      <c r="C112" s="5">
        <v>14</v>
      </c>
      <c r="D112" s="5" t="s">
        <v>728</v>
      </c>
      <c r="E112" s="5" t="s">
        <v>99</v>
      </c>
      <c r="F112" s="5" t="s">
        <v>99</v>
      </c>
      <c r="G112" s="5" t="s">
        <v>100</v>
      </c>
      <c r="H112" s="6" t="b">
        <v>0</v>
      </c>
      <c r="I112" s="5" t="s">
        <v>103</v>
      </c>
    </row>
    <row r="113" spans="1:9">
      <c r="A113" s="5" t="s">
        <v>284</v>
      </c>
      <c r="B113" s="5" t="s">
        <v>627</v>
      </c>
      <c r="C113" s="5">
        <v>15</v>
      </c>
      <c r="D113" s="5" t="s">
        <v>730</v>
      </c>
      <c r="E113" s="5" t="s">
        <v>232</v>
      </c>
      <c r="F113" s="5" t="s">
        <v>232</v>
      </c>
      <c r="G113" s="5" t="s">
        <v>233</v>
      </c>
      <c r="H113" s="6" t="b">
        <v>0</v>
      </c>
      <c r="I113" s="5"/>
    </row>
    <row r="114" spans="1:9">
      <c r="A114" s="5" t="s">
        <v>284</v>
      </c>
      <c r="B114" s="5" t="s">
        <v>627</v>
      </c>
      <c r="C114" s="5">
        <v>16</v>
      </c>
      <c r="D114" s="5" t="s">
        <v>743</v>
      </c>
      <c r="E114" s="5" t="s">
        <v>311</v>
      </c>
      <c r="F114" s="5" t="s">
        <v>311</v>
      </c>
      <c r="G114" s="5" t="s">
        <v>312</v>
      </c>
      <c r="H114" s="6" t="b">
        <v>0</v>
      </c>
      <c r="I114" s="5"/>
    </row>
    <row r="115" spans="1:9">
      <c r="A115" s="5" t="s">
        <v>284</v>
      </c>
      <c r="B115" s="5" t="s">
        <v>627</v>
      </c>
      <c r="C115" s="5">
        <v>17</v>
      </c>
      <c r="D115" s="5" t="s">
        <v>744</v>
      </c>
      <c r="E115" s="5" t="s">
        <v>313</v>
      </c>
      <c r="F115" s="5" t="s">
        <v>313</v>
      </c>
      <c r="G115" s="5" t="s">
        <v>314</v>
      </c>
      <c r="H115" s="6" t="b">
        <v>0</v>
      </c>
      <c r="I115" s="5"/>
    </row>
    <row r="116" spans="1:9">
      <c r="A116" s="5" t="s">
        <v>284</v>
      </c>
      <c r="B116" s="5" t="s">
        <v>627</v>
      </c>
      <c r="C116" s="5">
        <v>18</v>
      </c>
      <c r="D116" s="5" t="s">
        <v>726</v>
      </c>
      <c r="E116" s="5" t="s">
        <v>56</v>
      </c>
      <c r="F116" s="5" t="s">
        <v>56</v>
      </c>
      <c r="G116" s="5" t="s">
        <v>56</v>
      </c>
      <c r="H116" s="6" t="b">
        <v>0</v>
      </c>
      <c r="I116" s="5"/>
    </row>
    <row r="117" spans="1:9">
      <c r="A117" s="5" t="s">
        <v>284</v>
      </c>
      <c r="B117" s="5" t="s">
        <v>627</v>
      </c>
      <c r="C117" s="5">
        <v>19</v>
      </c>
      <c r="D117" s="5" t="s">
        <v>745</v>
      </c>
      <c r="E117" s="5" t="s">
        <v>315</v>
      </c>
      <c r="F117" s="5" t="s">
        <v>315</v>
      </c>
      <c r="G117" s="5" t="s">
        <v>316</v>
      </c>
      <c r="H117" s="6" t="b">
        <v>0</v>
      </c>
      <c r="I117" s="5" t="s">
        <v>317</v>
      </c>
    </row>
    <row r="118" spans="1:9">
      <c r="A118" s="5" t="s">
        <v>284</v>
      </c>
      <c r="B118" s="5" t="s">
        <v>627</v>
      </c>
      <c r="C118" s="5">
        <v>20</v>
      </c>
      <c r="D118" s="5" t="s">
        <v>746</v>
      </c>
      <c r="E118" s="5" t="s">
        <v>318</v>
      </c>
      <c r="F118" s="5" t="s">
        <v>318</v>
      </c>
      <c r="G118" s="5" t="s">
        <v>319</v>
      </c>
      <c r="H118" s="6" t="b">
        <v>0</v>
      </c>
      <c r="I118" s="5"/>
    </row>
    <row r="119" spans="1:9">
      <c r="A119" s="5" t="s">
        <v>284</v>
      </c>
      <c r="B119" s="5" t="s">
        <v>627</v>
      </c>
      <c r="C119" s="5">
        <v>21</v>
      </c>
      <c r="D119" s="5" t="s">
        <v>747</v>
      </c>
      <c r="E119" s="5" t="s">
        <v>322</v>
      </c>
      <c r="F119" s="5" t="s">
        <v>322</v>
      </c>
      <c r="G119" s="5" t="s">
        <v>323</v>
      </c>
      <c r="H119" s="6" t="b">
        <v>0</v>
      </c>
      <c r="I119" s="5"/>
    </row>
    <row r="120" spans="1:9">
      <c r="A120" s="5" t="s">
        <v>284</v>
      </c>
      <c r="B120" s="5" t="s">
        <v>627</v>
      </c>
      <c r="C120" s="5">
        <v>22</v>
      </c>
      <c r="D120" s="5" t="s">
        <v>748</v>
      </c>
      <c r="E120" s="5" t="s">
        <v>324</v>
      </c>
      <c r="F120" s="5" t="s">
        <v>324</v>
      </c>
      <c r="G120" s="5" t="s">
        <v>325</v>
      </c>
      <c r="H120" s="6" t="b">
        <v>0</v>
      </c>
      <c r="I120" s="5"/>
    </row>
    <row r="121" spans="1:9">
      <c r="A121" s="5" t="s">
        <v>284</v>
      </c>
      <c r="B121" s="5" t="s">
        <v>627</v>
      </c>
      <c r="C121" s="5">
        <v>23</v>
      </c>
      <c r="D121" s="5" t="s">
        <v>749</v>
      </c>
      <c r="E121" s="5" t="s">
        <v>326</v>
      </c>
      <c r="F121" s="5" t="s">
        <v>326</v>
      </c>
      <c r="G121" s="5" t="s">
        <v>327</v>
      </c>
      <c r="H121" s="6" t="b">
        <v>0</v>
      </c>
      <c r="I121" s="5"/>
    </row>
    <row r="122" spans="1:9">
      <c r="A122" s="5" t="s">
        <v>284</v>
      </c>
      <c r="B122" s="5" t="s">
        <v>627</v>
      </c>
      <c r="C122" s="5">
        <v>24</v>
      </c>
      <c r="D122" s="5" t="s">
        <v>750</v>
      </c>
      <c r="E122" s="5" t="s">
        <v>328</v>
      </c>
      <c r="F122" s="5" t="s">
        <v>328</v>
      </c>
      <c r="G122" s="5" t="s">
        <v>329</v>
      </c>
      <c r="H122" s="6" t="b">
        <v>0</v>
      </c>
      <c r="I122" s="5" t="s">
        <v>330</v>
      </c>
    </row>
    <row r="123" spans="1:9">
      <c r="A123" s="5" t="s">
        <v>284</v>
      </c>
      <c r="B123" s="5" t="s">
        <v>627</v>
      </c>
      <c r="C123" s="5">
        <v>25</v>
      </c>
      <c r="D123" s="5" t="s">
        <v>729</v>
      </c>
      <c r="E123" s="5" t="s">
        <v>151</v>
      </c>
      <c r="F123" s="5" t="s">
        <v>151</v>
      </c>
      <c r="G123" s="5" t="s">
        <v>152</v>
      </c>
      <c r="H123" s="6" t="b">
        <v>0</v>
      </c>
      <c r="I123" s="5"/>
    </row>
    <row r="124" spans="1:9">
      <c r="A124" s="5" t="s">
        <v>284</v>
      </c>
      <c r="B124" s="5" t="s">
        <v>627</v>
      </c>
      <c r="C124" s="5">
        <v>26</v>
      </c>
      <c r="D124" s="5" t="s">
        <v>751</v>
      </c>
      <c r="E124" s="5" t="s">
        <v>331</v>
      </c>
      <c r="F124" s="5" t="s">
        <v>331</v>
      </c>
      <c r="G124" s="5" t="s">
        <v>332</v>
      </c>
      <c r="H124" s="6" t="b">
        <v>1</v>
      </c>
      <c r="I124" s="5"/>
    </row>
    <row r="125" spans="1:9">
      <c r="A125" s="5" t="s">
        <v>335</v>
      </c>
      <c r="B125" s="5" t="s">
        <v>753</v>
      </c>
      <c r="C125" s="5">
        <v>1</v>
      </c>
      <c r="D125" s="5" t="s">
        <v>762</v>
      </c>
      <c r="E125" s="5" t="s">
        <v>333</v>
      </c>
      <c r="F125" s="5" t="s">
        <v>333</v>
      </c>
      <c r="G125" s="5" t="s">
        <v>334</v>
      </c>
      <c r="H125" s="6" t="b">
        <v>1</v>
      </c>
      <c r="I125" s="5"/>
    </row>
    <row r="126" spans="1:9">
      <c r="A126" s="5" t="s">
        <v>335</v>
      </c>
      <c r="B126" s="5" t="s">
        <v>753</v>
      </c>
      <c r="C126" s="5">
        <v>2</v>
      </c>
      <c r="D126" s="5" t="s">
        <v>763</v>
      </c>
      <c r="E126" s="5" t="s">
        <v>337</v>
      </c>
      <c r="F126" s="5" t="s">
        <v>337</v>
      </c>
      <c r="G126" s="5" t="s">
        <v>338</v>
      </c>
      <c r="H126" s="6" t="b">
        <v>0</v>
      </c>
      <c r="I126" s="5"/>
    </row>
    <row r="127" spans="1:9">
      <c r="A127" s="5" t="s">
        <v>335</v>
      </c>
      <c r="B127" s="5" t="s">
        <v>753</v>
      </c>
      <c r="C127" s="5">
        <v>3</v>
      </c>
      <c r="D127" s="5" t="s">
        <v>764</v>
      </c>
      <c r="E127" s="5" t="s">
        <v>339</v>
      </c>
      <c r="F127" s="5" t="s">
        <v>339</v>
      </c>
      <c r="G127" s="5" t="s">
        <v>340</v>
      </c>
      <c r="H127" s="6" t="b">
        <v>0</v>
      </c>
      <c r="I127" s="5"/>
    </row>
    <row r="128" spans="1:9">
      <c r="A128" s="5" t="s">
        <v>335</v>
      </c>
      <c r="B128" s="5" t="s">
        <v>753</v>
      </c>
      <c r="C128" s="5">
        <v>4</v>
      </c>
      <c r="D128" s="5" t="s">
        <v>765</v>
      </c>
      <c r="E128" s="5" t="s">
        <v>341</v>
      </c>
      <c r="F128" s="5" t="s">
        <v>341</v>
      </c>
      <c r="G128" s="5" t="s">
        <v>342</v>
      </c>
      <c r="H128" s="6" t="b">
        <v>0</v>
      </c>
      <c r="I128" s="5"/>
    </row>
    <row r="129" spans="1:9">
      <c r="A129" s="5" t="s">
        <v>335</v>
      </c>
      <c r="B129" s="5" t="s">
        <v>753</v>
      </c>
      <c r="C129" s="5">
        <v>5</v>
      </c>
      <c r="D129" s="5" t="s">
        <v>766</v>
      </c>
      <c r="E129" s="5" t="s">
        <v>343</v>
      </c>
      <c r="F129" s="5" t="s">
        <v>343</v>
      </c>
      <c r="G129" s="5" t="s">
        <v>344</v>
      </c>
      <c r="H129" s="6" t="b">
        <v>0</v>
      </c>
      <c r="I129" s="5"/>
    </row>
    <row r="130" spans="1:9">
      <c r="A130" s="5" t="s">
        <v>335</v>
      </c>
      <c r="B130" s="5" t="s">
        <v>753</v>
      </c>
      <c r="C130" s="5">
        <v>6</v>
      </c>
      <c r="D130" s="5" t="s">
        <v>767</v>
      </c>
      <c r="E130" s="5" t="s">
        <v>345</v>
      </c>
      <c r="F130" s="5" t="s">
        <v>345</v>
      </c>
      <c r="G130" s="5" t="s">
        <v>346</v>
      </c>
      <c r="H130" s="6" t="b">
        <v>0</v>
      </c>
      <c r="I130" s="5"/>
    </row>
    <row r="131" spans="1:9">
      <c r="A131" s="5" t="s">
        <v>335</v>
      </c>
      <c r="B131" s="5" t="s">
        <v>753</v>
      </c>
      <c r="C131" s="5">
        <v>7</v>
      </c>
      <c r="D131" s="5" t="s">
        <v>768</v>
      </c>
      <c r="E131" s="5" t="s">
        <v>347</v>
      </c>
      <c r="F131" s="5" t="s">
        <v>347</v>
      </c>
      <c r="G131" s="5" t="s">
        <v>348</v>
      </c>
      <c r="H131" s="6" t="b">
        <v>0</v>
      </c>
      <c r="I131" s="5"/>
    </row>
    <row r="132" spans="1:9">
      <c r="A132" s="5" t="s">
        <v>335</v>
      </c>
      <c r="B132" s="5" t="s">
        <v>753</v>
      </c>
      <c r="C132" s="5">
        <v>8</v>
      </c>
      <c r="D132" s="5" t="s">
        <v>769</v>
      </c>
      <c r="E132" s="5" t="s">
        <v>349</v>
      </c>
      <c r="F132" s="5" t="s">
        <v>349</v>
      </c>
      <c r="G132" s="5" t="s">
        <v>350</v>
      </c>
      <c r="H132" s="6" t="b">
        <v>0</v>
      </c>
      <c r="I132" s="5"/>
    </row>
    <row r="133" spans="1:9">
      <c r="A133" s="5" t="s">
        <v>335</v>
      </c>
      <c r="B133" s="5" t="s">
        <v>753</v>
      </c>
      <c r="C133" s="5">
        <v>9</v>
      </c>
      <c r="D133" s="5" t="s">
        <v>759</v>
      </c>
      <c r="E133" s="5" t="s">
        <v>204</v>
      </c>
      <c r="F133" s="5" t="s">
        <v>204</v>
      </c>
      <c r="G133" s="5" t="s">
        <v>205</v>
      </c>
      <c r="H133" s="6" t="b">
        <v>0</v>
      </c>
      <c r="I133" s="5"/>
    </row>
    <row r="134" spans="1:9">
      <c r="A134" s="5" t="s">
        <v>335</v>
      </c>
      <c r="B134" s="5" t="s">
        <v>753</v>
      </c>
      <c r="C134" s="5">
        <v>10</v>
      </c>
      <c r="D134" s="5" t="s">
        <v>770</v>
      </c>
      <c r="E134" s="5" t="s">
        <v>351</v>
      </c>
      <c r="F134" s="5" t="s">
        <v>351</v>
      </c>
      <c r="G134" s="5" t="s">
        <v>352</v>
      </c>
      <c r="H134" s="6" t="b">
        <v>0</v>
      </c>
      <c r="I134" s="5"/>
    </row>
    <row r="135" spans="1:9">
      <c r="A135" s="5" t="s">
        <v>335</v>
      </c>
      <c r="B135" s="5" t="s">
        <v>753</v>
      </c>
      <c r="C135" s="5">
        <v>11</v>
      </c>
      <c r="D135" s="5" t="s">
        <v>771</v>
      </c>
      <c r="E135" s="5" t="s">
        <v>353</v>
      </c>
      <c r="F135" s="5" t="s">
        <v>353</v>
      </c>
      <c r="G135" s="5" t="s">
        <v>354</v>
      </c>
      <c r="H135" s="6" t="b">
        <v>0</v>
      </c>
      <c r="I135" s="5"/>
    </row>
    <row r="136" spans="1:9">
      <c r="A136" s="5" t="s">
        <v>335</v>
      </c>
      <c r="B136" s="5" t="s">
        <v>753</v>
      </c>
      <c r="C136" s="5">
        <v>12</v>
      </c>
      <c r="D136" s="5" t="s">
        <v>772</v>
      </c>
      <c r="E136" s="5" t="s">
        <v>355</v>
      </c>
      <c r="F136" s="5" t="s">
        <v>355</v>
      </c>
      <c r="G136" s="5" t="s">
        <v>356</v>
      </c>
      <c r="H136" s="6" t="b">
        <v>0</v>
      </c>
      <c r="I136" s="5"/>
    </row>
    <row r="137" spans="1:9">
      <c r="A137" s="5" t="s">
        <v>335</v>
      </c>
      <c r="B137" s="5" t="s">
        <v>753</v>
      </c>
      <c r="C137" s="5">
        <v>13</v>
      </c>
      <c r="D137" s="5" t="s">
        <v>773</v>
      </c>
      <c r="E137" s="5" t="s">
        <v>357</v>
      </c>
      <c r="F137" s="5" t="s">
        <v>357</v>
      </c>
      <c r="G137" s="5" t="s">
        <v>358</v>
      </c>
      <c r="H137" s="6" t="b">
        <v>0</v>
      </c>
      <c r="I137" s="5"/>
    </row>
    <row r="138" spans="1:9">
      <c r="A138" s="5" t="s">
        <v>335</v>
      </c>
      <c r="B138" s="5" t="s">
        <v>753</v>
      </c>
      <c r="C138" s="5">
        <v>14</v>
      </c>
      <c r="D138" s="5" t="s">
        <v>757</v>
      </c>
      <c r="E138" s="5" t="s">
        <v>174</v>
      </c>
      <c r="F138" s="5" t="s">
        <v>174</v>
      </c>
      <c r="G138" s="5" t="s">
        <v>175</v>
      </c>
      <c r="H138" s="6" t="b">
        <v>0</v>
      </c>
      <c r="I138" s="5"/>
    </row>
    <row r="139" spans="1:9">
      <c r="A139" s="5" t="s">
        <v>335</v>
      </c>
      <c r="B139" s="5" t="s">
        <v>753</v>
      </c>
      <c r="C139" s="5">
        <v>15</v>
      </c>
      <c r="D139" s="5" t="s">
        <v>774</v>
      </c>
      <c r="E139" s="5" t="s">
        <v>359</v>
      </c>
      <c r="F139" s="5" t="s">
        <v>359</v>
      </c>
      <c r="G139" s="5" t="s">
        <v>360</v>
      </c>
      <c r="H139" s="6" t="b">
        <v>0</v>
      </c>
      <c r="I139" s="5"/>
    </row>
    <row r="140" spans="1:9">
      <c r="A140" s="5" t="s">
        <v>335</v>
      </c>
      <c r="B140" s="5" t="s">
        <v>753</v>
      </c>
      <c r="C140" s="5">
        <v>16</v>
      </c>
      <c r="D140" s="5" t="s">
        <v>775</v>
      </c>
      <c r="E140" s="5" t="s">
        <v>361</v>
      </c>
      <c r="F140" s="5" t="s">
        <v>361</v>
      </c>
      <c r="G140" s="5" t="s">
        <v>362</v>
      </c>
      <c r="H140" s="6" t="b">
        <v>0</v>
      </c>
      <c r="I140" s="5"/>
    </row>
    <row r="141" spans="1:9">
      <c r="A141" s="5" t="s">
        <v>335</v>
      </c>
      <c r="B141" s="5" t="s">
        <v>753</v>
      </c>
      <c r="C141" s="5">
        <v>17</v>
      </c>
      <c r="D141" s="5" t="s">
        <v>776</v>
      </c>
      <c r="E141" s="5" t="s">
        <v>363</v>
      </c>
      <c r="F141" s="5" t="s">
        <v>363</v>
      </c>
      <c r="G141" s="5" t="s">
        <v>364</v>
      </c>
      <c r="H141" s="6" t="b">
        <v>0</v>
      </c>
      <c r="I141" s="5"/>
    </row>
    <row r="142" spans="1:9">
      <c r="A142" s="5" t="s">
        <v>335</v>
      </c>
      <c r="B142" s="5" t="s">
        <v>753</v>
      </c>
      <c r="C142" s="5">
        <v>18</v>
      </c>
      <c r="D142" s="5" t="s">
        <v>777</v>
      </c>
      <c r="E142" s="5" t="s">
        <v>365</v>
      </c>
      <c r="F142" s="5" t="s">
        <v>365</v>
      </c>
      <c r="G142" s="5" t="s">
        <v>366</v>
      </c>
      <c r="H142" s="6" t="b">
        <v>0</v>
      </c>
      <c r="I142" s="5"/>
    </row>
    <row r="143" spans="1:9">
      <c r="A143" s="5" t="s">
        <v>335</v>
      </c>
      <c r="B143" s="5" t="s">
        <v>753</v>
      </c>
      <c r="C143" s="5">
        <v>19</v>
      </c>
      <c r="D143" s="5" t="s">
        <v>778</v>
      </c>
      <c r="E143" s="5" t="s">
        <v>367</v>
      </c>
      <c r="F143" s="5" t="s">
        <v>367</v>
      </c>
      <c r="G143" s="5" t="s">
        <v>368</v>
      </c>
      <c r="H143" s="6" t="b">
        <v>0</v>
      </c>
      <c r="I143" s="5"/>
    </row>
    <row r="144" spans="1:9">
      <c r="A144" s="5" t="s">
        <v>335</v>
      </c>
      <c r="B144" s="5" t="s">
        <v>753</v>
      </c>
      <c r="C144" s="5">
        <v>20</v>
      </c>
      <c r="D144" s="5" t="s">
        <v>779</v>
      </c>
      <c r="E144" s="5" t="s">
        <v>369</v>
      </c>
      <c r="F144" s="5" t="s">
        <v>369</v>
      </c>
      <c r="G144" s="5" t="s">
        <v>370</v>
      </c>
      <c r="H144" s="6" t="b">
        <v>0</v>
      </c>
      <c r="I144" s="5"/>
    </row>
    <row r="145" spans="1:9">
      <c r="A145" s="5" t="s">
        <v>335</v>
      </c>
      <c r="B145" s="5" t="s">
        <v>753</v>
      </c>
      <c r="C145" s="5">
        <v>21</v>
      </c>
      <c r="D145" s="5" t="s">
        <v>780</v>
      </c>
      <c r="E145" s="5" t="s">
        <v>373</v>
      </c>
      <c r="F145" s="5" t="s">
        <v>373</v>
      </c>
      <c r="G145" s="5" t="s">
        <v>374</v>
      </c>
      <c r="H145" s="6" t="b">
        <v>0</v>
      </c>
      <c r="I145" s="5"/>
    </row>
    <row r="146" spans="1:9">
      <c r="A146" s="5" t="s">
        <v>335</v>
      </c>
      <c r="B146" s="5" t="s">
        <v>753</v>
      </c>
      <c r="C146" s="5">
        <v>22</v>
      </c>
      <c r="D146" s="5" t="s">
        <v>758</v>
      </c>
      <c r="E146" s="5" t="s">
        <v>188</v>
      </c>
      <c r="F146" s="5" t="s">
        <v>188</v>
      </c>
      <c r="G146" s="5" t="s">
        <v>189</v>
      </c>
      <c r="H146" s="6" t="b">
        <v>0</v>
      </c>
      <c r="I146" s="5"/>
    </row>
    <row r="147" spans="1:9">
      <c r="A147" s="5" t="s">
        <v>335</v>
      </c>
      <c r="B147" s="5" t="s">
        <v>753</v>
      </c>
      <c r="C147" s="5">
        <v>23</v>
      </c>
      <c r="D147" s="5" t="s">
        <v>781</v>
      </c>
      <c r="E147" s="5" t="s">
        <v>375</v>
      </c>
      <c r="F147" s="5" t="s">
        <v>375</v>
      </c>
      <c r="G147" s="5" t="s">
        <v>376</v>
      </c>
      <c r="H147" s="6" t="b">
        <v>0</v>
      </c>
      <c r="I147" s="5"/>
    </row>
    <row r="148" spans="1:9">
      <c r="A148" s="5" t="s">
        <v>335</v>
      </c>
      <c r="B148" s="5" t="s">
        <v>753</v>
      </c>
      <c r="C148" s="5">
        <v>24</v>
      </c>
      <c r="D148" s="5" t="s">
        <v>782</v>
      </c>
      <c r="E148" s="5" t="s">
        <v>377</v>
      </c>
      <c r="F148" s="5" t="s">
        <v>377</v>
      </c>
      <c r="G148" s="5" t="s">
        <v>378</v>
      </c>
      <c r="H148" s="6" t="b">
        <v>0</v>
      </c>
      <c r="I148" s="5" t="s">
        <v>379</v>
      </c>
    </row>
    <row r="149" spans="1:9">
      <c r="A149" s="5" t="s">
        <v>335</v>
      </c>
      <c r="B149" s="5" t="s">
        <v>753</v>
      </c>
      <c r="C149" s="5">
        <v>25</v>
      </c>
      <c r="D149" s="5" t="s">
        <v>752</v>
      </c>
      <c r="E149" s="5" t="s">
        <v>67</v>
      </c>
      <c r="F149" s="5" t="s">
        <v>67</v>
      </c>
      <c r="G149" s="5" t="s">
        <v>68</v>
      </c>
      <c r="H149" s="6" t="b">
        <v>0</v>
      </c>
      <c r="I149" s="5"/>
    </row>
    <row r="150" spans="1:9">
      <c r="A150" s="5" t="s">
        <v>335</v>
      </c>
      <c r="B150" s="5" t="s">
        <v>753</v>
      </c>
      <c r="C150" s="5">
        <v>26</v>
      </c>
      <c r="D150" s="5" t="s">
        <v>754</v>
      </c>
      <c r="E150" s="5" t="s">
        <v>95</v>
      </c>
      <c r="F150" s="5" t="s">
        <v>95</v>
      </c>
      <c r="G150" s="5" t="s">
        <v>96</v>
      </c>
      <c r="H150" s="6" t="b">
        <v>0</v>
      </c>
      <c r="I150" s="5"/>
    </row>
    <row r="151" spans="1:9">
      <c r="A151" s="5" t="s">
        <v>335</v>
      </c>
      <c r="B151" s="5" t="s">
        <v>753</v>
      </c>
      <c r="C151" s="5">
        <v>27</v>
      </c>
      <c r="D151" s="5" t="s">
        <v>755</v>
      </c>
      <c r="E151" s="5" t="s">
        <v>99</v>
      </c>
      <c r="F151" s="5" t="s">
        <v>99</v>
      </c>
      <c r="G151" s="5" t="s">
        <v>100</v>
      </c>
      <c r="H151" s="6" t="b">
        <v>0</v>
      </c>
      <c r="I151" s="5" t="s">
        <v>103</v>
      </c>
    </row>
    <row r="152" spans="1:9">
      <c r="A152" s="5" t="s">
        <v>335</v>
      </c>
      <c r="B152" s="5" t="s">
        <v>753</v>
      </c>
      <c r="C152" s="5">
        <v>28</v>
      </c>
      <c r="D152" s="5" t="s">
        <v>783</v>
      </c>
      <c r="E152" s="5" t="s">
        <v>380</v>
      </c>
      <c r="F152" s="5" t="s">
        <v>380</v>
      </c>
      <c r="G152" s="5" t="s">
        <v>381</v>
      </c>
      <c r="H152" s="6" t="b">
        <v>0</v>
      </c>
      <c r="I152" s="5"/>
    </row>
    <row r="153" spans="1:9">
      <c r="A153" s="5" t="s">
        <v>335</v>
      </c>
      <c r="B153" s="5" t="s">
        <v>753</v>
      </c>
      <c r="C153" s="5">
        <v>29</v>
      </c>
      <c r="D153" s="5" t="s">
        <v>784</v>
      </c>
      <c r="E153" s="5" t="s">
        <v>382</v>
      </c>
      <c r="F153" s="5" t="s">
        <v>382</v>
      </c>
      <c r="G153" s="5" t="s">
        <v>383</v>
      </c>
      <c r="H153" s="6" t="b">
        <v>0</v>
      </c>
      <c r="I153" s="5"/>
    </row>
    <row r="154" spans="1:9">
      <c r="A154" s="5" t="s">
        <v>335</v>
      </c>
      <c r="B154" s="5" t="s">
        <v>753</v>
      </c>
      <c r="C154" s="5">
        <v>30</v>
      </c>
      <c r="D154" s="5" t="s">
        <v>785</v>
      </c>
      <c r="E154" s="5" t="s">
        <v>384</v>
      </c>
      <c r="F154" s="5" t="s">
        <v>384</v>
      </c>
      <c r="G154" s="5" t="s">
        <v>385</v>
      </c>
      <c r="H154" s="6" t="b">
        <v>0</v>
      </c>
      <c r="I154" s="5"/>
    </row>
    <row r="155" spans="1:9">
      <c r="A155" s="5" t="s">
        <v>335</v>
      </c>
      <c r="B155" s="5" t="s">
        <v>753</v>
      </c>
      <c r="C155" s="5">
        <v>31</v>
      </c>
      <c r="D155" s="5" t="s">
        <v>756</v>
      </c>
      <c r="E155" s="5" t="s">
        <v>110</v>
      </c>
      <c r="F155" s="5" t="s">
        <v>110</v>
      </c>
      <c r="G155" s="5" t="s">
        <v>111</v>
      </c>
      <c r="H155" s="6" t="b">
        <v>0</v>
      </c>
      <c r="I155" s="5"/>
    </row>
    <row r="156" spans="1:9">
      <c r="A156" s="5" t="s">
        <v>335</v>
      </c>
      <c r="B156" s="5" t="s">
        <v>753</v>
      </c>
      <c r="C156" s="5">
        <v>32</v>
      </c>
      <c r="D156" s="5" t="s">
        <v>786</v>
      </c>
      <c r="E156" s="5" t="s">
        <v>386</v>
      </c>
      <c r="F156" s="5" t="s">
        <v>386</v>
      </c>
      <c r="G156" s="5" t="s">
        <v>387</v>
      </c>
      <c r="H156" s="6" t="b">
        <v>0</v>
      </c>
      <c r="I156" s="5"/>
    </row>
    <row r="157" spans="1:9">
      <c r="A157" s="5" t="s">
        <v>335</v>
      </c>
      <c r="B157" s="5" t="s">
        <v>753</v>
      </c>
      <c r="C157" s="5">
        <v>33</v>
      </c>
      <c r="D157" s="5" t="s">
        <v>787</v>
      </c>
      <c r="E157" s="5" t="s">
        <v>388</v>
      </c>
      <c r="F157" s="5" t="s">
        <v>388</v>
      </c>
      <c r="G157" s="5" t="s">
        <v>389</v>
      </c>
      <c r="H157" s="6" t="b">
        <v>0</v>
      </c>
      <c r="I157" s="5"/>
    </row>
    <row r="158" spans="1:9">
      <c r="A158" s="5" t="s">
        <v>335</v>
      </c>
      <c r="B158" s="5" t="s">
        <v>753</v>
      </c>
      <c r="C158" s="5">
        <v>34</v>
      </c>
      <c r="D158" s="5" t="s">
        <v>788</v>
      </c>
      <c r="E158" s="5" t="s">
        <v>390</v>
      </c>
      <c r="F158" s="5" t="s">
        <v>390</v>
      </c>
      <c r="G158" s="5" t="s">
        <v>391</v>
      </c>
      <c r="H158" s="6" t="b">
        <v>0</v>
      </c>
      <c r="I158" s="5"/>
    </row>
    <row r="159" spans="1:9">
      <c r="A159" s="5" t="s">
        <v>335</v>
      </c>
      <c r="B159" s="5" t="s">
        <v>753</v>
      </c>
      <c r="C159" s="5">
        <v>35</v>
      </c>
      <c r="D159" s="5" t="s">
        <v>789</v>
      </c>
      <c r="E159" s="5" t="s">
        <v>392</v>
      </c>
      <c r="F159" s="5" t="s">
        <v>392</v>
      </c>
      <c r="G159" s="5" t="s">
        <v>393</v>
      </c>
      <c r="H159" s="6" t="b">
        <v>0</v>
      </c>
      <c r="I159" s="5"/>
    </row>
    <row r="160" spans="1:9">
      <c r="A160" s="5" t="s">
        <v>335</v>
      </c>
      <c r="B160" s="5" t="s">
        <v>753</v>
      </c>
      <c r="C160" s="5">
        <v>36</v>
      </c>
      <c r="D160" s="5" t="s">
        <v>790</v>
      </c>
      <c r="E160" s="5" t="s">
        <v>396</v>
      </c>
      <c r="F160" s="5" t="s">
        <v>396</v>
      </c>
      <c r="G160" s="5" t="s">
        <v>397</v>
      </c>
      <c r="H160" s="6" t="b">
        <v>0</v>
      </c>
      <c r="I160" s="5"/>
    </row>
    <row r="161" spans="1:9">
      <c r="A161" s="5" t="s">
        <v>335</v>
      </c>
      <c r="B161" s="5" t="s">
        <v>753</v>
      </c>
      <c r="C161" s="5">
        <v>37</v>
      </c>
      <c r="D161" s="5" t="s">
        <v>791</v>
      </c>
      <c r="E161" s="5" t="s">
        <v>398</v>
      </c>
      <c r="F161" s="5" t="s">
        <v>398</v>
      </c>
      <c r="G161" s="5" t="s">
        <v>399</v>
      </c>
      <c r="H161" s="6" t="b">
        <v>0</v>
      </c>
      <c r="I161" s="5"/>
    </row>
    <row r="162" spans="1:9">
      <c r="A162" s="5" t="s">
        <v>335</v>
      </c>
      <c r="B162" s="5" t="s">
        <v>753</v>
      </c>
      <c r="C162" s="5">
        <v>38</v>
      </c>
      <c r="D162" s="5" t="s">
        <v>792</v>
      </c>
      <c r="E162" s="5" t="s">
        <v>400</v>
      </c>
      <c r="F162" s="5" t="s">
        <v>400</v>
      </c>
      <c r="G162" s="5" t="s">
        <v>401</v>
      </c>
      <c r="H162" s="6" t="b">
        <v>0</v>
      </c>
      <c r="I162" s="5"/>
    </row>
    <row r="163" spans="1:9">
      <c r="A163" s="5" t="s">
        <v>335</v>
      </c>
      <c r="B163" s="5" t="s">
        <v>753</v>
      </c>
      <c r="C163" s="5">
        <v>39</v>
      </c>
      <c r="D163" s="5" t="s">
        <v>793</v>
      </c>
      <c r="E163" s="5" t="s">
        <v>404</v>
      </c>
      <c r="F163" s="5" t="s">
        <v>404</v>
      </c>
      <c r="G163" s="5" t="s">
        <v>405</v>
      </c>
      <c r="H163" s="6" t="b">
        <v>1</v>
      </c>
      <c r="I163" s="5"/>
    </row>
    <row r="164" spans="1:9">
      <c r="A164" s="5" t="s">
        <v>335</v>
      </c>
      <c r="B164" s="5" t="s">
        <v>796</v>
      </c>
      <c r="C164" s="5">
        <v>1</v>
      </c>
      <c r="D164" s="5" t="s">
        <v>793</v>
      </c>
      <c r="E164" s="5" t="s">
        <v>404</v>
      </c>
      <c r="F164" s="5" t="s">
        <v>404</v>
      </c>
      <c r="G164" s="5" t="s">
        <v>405</v>
      </c>
      <c r="H164" s="6" t="b">
        <v>1</v>
      </c>
      <c r="I164" s="5"/>
    </row>
    <row r="165" spans="1:9">
      <c r="A165" s="5" t="s">
        <v>335</v>
      </c>
      <c r="B165" s="5" t="s">
        <v>796</v>
      </c>
      <c r="C165" s="5">
        <v>2</v>
      </c>
      <c r="D165" s="5" t="s">
        <v>795</v>
      </c>
      <c r="E165" s="5" t="s">
        <v>407</v>
      </c>
      <c r="F165" s="5" t="s">
        <v>407</v>
      </c>
      <c r="G165" s="5" t="s">
        <v>408</v>
      </c>
      <c r="H165" s="6" t="b">
        <v>0</v>
      </c>
      <c r="I165" s="5"/>
    </row>
    <row r="166" spans="1:9">
      <c r="A166" s="5" t="s">
        <v>335</v>
      </c>
      <c r="B166" s="5" t="s">
        <v>796</v>
      </c>
      <c r="C166" s="5">
        <v>3</v>
      </c>
      <c r="D166" s="5" t="s">
        <v>797</v>
      </c>
      <c r="E166" s="5" t="s">
        <v>410</v>
      </c>
      <c r="F166" s="5" t="s">
        <v>410</v>
      </c>
      <c r="G166" s="5" t="s">
        <v>411</v>
      </c>
      <c r="H166" s="6" t="b">
        <v>0</v>
      </c>
      <c r="I166" s="5"/>
    </row>
    <row r="167" spans="1:9">
      <c r="A167" s="5" t="s">
        <v>335</v>
      </c>
      <c r="B167" s="5" t="s">
        <v>796</v>
      </c>
      <c r="C167" s="5">
        <v>4</v>
      </c>
      <c r="D167" s="5" t="s">
        <v>798</v>
      </c>
      <c r="E167" s="5" t="s">
        <v>412</v>
      </c>
      <c r="F167" s="5" t="s">
        <v>412</v>
      </c>
      <c r="G167" s="5" t="s">
        <v>413</v>
      </c>
      <c r="H167" s="6" t="b">
        <v>0</v>
      </c>
      <c r="I167" s="5"/>
    </row>
    <row r="168" spans="1:9">
      <c r="A168" s="5" t="s">
        <v>335</v>
      </c>
      <c r="B168" s="5" t="s">
        <v>796</v>
      </c>
      <c r="C168" s="5">
        <v>5</v>
      </c>
      <c r="D168" s="5" t="s">
        <v>799</v>
      </c>
      <c r="E168" s="5" t="s">
        <v>414</v>
      </c>
      <c r="F168" s="5" t="s">
        <v>414</v>
      </c>
      <c r="G168" s="5" t="s">
        <v>415</v>
      </c>
      <c r="H168" s="6" t="b">
        <v>0</v>
      </c>
      <c r="I168" s="5"/>
    </row>
    <row r="169" spans="1:9">
      <c r="A169" s="5" t="s">
        <v>335</v>
      </c>
      <c r="B169" s="5" t="s">
        <v>796</v>
      </c>
      <c r="C169" s="5">
        <v>6</v>
      </c>
      <c r="D169" s="5" t="s">
        <v>800</v>
      </c>
      <c r="E169" s="5" t="s">
        <v>416</v>
      </c>
      <c r="F169" s="5" t="s">
        <v>416</v>
      </c>
      <c r="G169" s="5" t="s">
        <v>417</v>
      </c>
      <c r="H169" s="6" t="b">
        <v>0</v>
      </c>
      <c r="I169" s="5"/>
    </row>
    <row r="170" spans="1:9">
      <c r="A170" s="5" t="s">
        <v>335</v>
      </c>
      <c r="B170" s="5" t="s">
        <v>796</v>
      </c>
      <c r="C170" s="5">
        <v>7</v>
      </c>
      <c r="D170" s="5" t="s">
        <v>801</v>
      </c>
      <c r="E170" s="5" t="s">
        <v>418</v>
      </c>
      <c r="F170" s="5" t="s">
        <v>418</v>
      </c>
      <c r="G170" s="5" t="s">
        <v>419</v>
      </c>
      <c r="H170" s="6" t="b">
        <v>0</v>
      </c>
      <c r="I170" s="5"/>
    </row>
    <row r="171" spans="1:9">
      <c r="A171" s="5" t="s">
        <v>335</v>
      </c>
      <c r="B171" s="5" t="s">
        <v>796</v>
      </c>
      <c r="C171" s="5">
        <v>8</v>
      </c>
      <c r="D171" s="5" t="s">
        <v>802</v>
      </c>
      <c r="E171" s="5" t="s">
        <v>420</v>
      </c>
      <c r="F171" s="5" t="s">
        <v>420</v>
      </c>
      <c r="G171" s="5" t="s">
        <v>421</v>
      </c>
      <c r="H171" s="6" t="b">
        <v>0</v>
      </c>
      <c r="I171" s="5"/>
    </row>
    <row r="172" spans="1:9">
      <c r="A172" s="5" t="s">
        <v>335</v>
      </c>
      <c r="B172" s="5" t="s">
        <v>796</v>
      </c>
      <c r="C172" s="5">
        <v>9</v>
      </c>
      <c r="D172" s="5" t="s">
        <v>803</v>
      </c>
      <c r="E172" s="5" t="s">
        <v>422</v>
      </c>
      <c r="F172" s="5" t="s">
        <v>422</v>
      </c>
      <c r="G172" s="5" t="s">
        <v>423</v>
      </c>
      <c r="H172" s="6" t="b">
        <v>0</v>
      </c>
      <c r="I172" s="5"/>
    </row>
    <row r="173" spans="1:9">
      <c r="A173" s="5" t="s">
        <v>335</v>
      </c>
      <c r="B173" s="5" t="s">
        <v>796</v>
      </c>
      <c r="C173" s="5">
        <v>10</v>
      </c>
      <c r="D173" s="5" t="s">
        <v>804</v>
      </c>
      <c r="E173" s="5" t="s">
        <v>424</v>
      </c>
      <c r="F173" s="5" t="s">
        <v>424</v>
      </c>
      <c r="G173" s="5" t="s">
        <v>425</v>
      </c>
      <c r="H173" s="6" t="b">
        <v>0</v>
      </c>
      <c r="I173" s="5" t="s">
        <v>426</v>
      </c>
    </row>
    <row r="174" spans="1:9">
      <c r="A174" s="5" t="s">
        <v>335</v>
      </c>
      <c r="B174" s="5" t="s">
        <v>796</v>
      </c>
      <c r="C174" s="5">
        <v>11</v>
      </c>
      <c r="D174" s="5" t="s">
        <v>805</v>
      </c>
      <c r="E174" s="5" t="s">
        <v>427</v>
      </c>
      <c r="F174" s="5" t="s">
        <v>427</v>
      </c>
      <c r="G174" s="5" t="s">
        <v>428</v>
      </c>
      <c r="H174" s="6" t="b">
        <v>1</v>
      </c>
      <c r="I174" s="5"/>
    </row>
    <row r="175" spans="1:9">
      <c r="A175" s="5" t="s">
        <v>335</v>
      </c>
      <c r="B175" s="5" t="s">
        <v>761</v>
      </c>
      <c r="C175" s="5">
        <v>1</v>
      </c>
      <c r="D175" s="5" t="s">
        <v>793</v>
      </c>
      <c r="E175" s="5" t="s">
        <v>404</v>
      </c>
      <c r="F175" s="5" t="s">
        <v>404</v>
      </c>
      <c r="G175" s="5" t="s">
        <v>405</v>
      </c>
      <c r="H175" s="6" t="b">
        <v>1</v>
      </c>
      <c r="I175" s="5"/>
    </row>
    <row r="176" spans="1:9">
      <c r="A176" s="5" t="s">
        <v>335</v>
      </c>
      <c r="B176" s="5" t="s">
        <v>761</v>
      </c>
      <c r="C176" s="5">
        <v>2</v>
      </c>
      <c r="D176" s="5" t="s">
        <v>806</v>
      </c>
      <c r="E176" s="5" t="s">
        <v>429</v>
      </c>
      <c r="F176" s="5" t="s">
        <v>429</v>
      </c>
      <c r="G176" s="5" t="s">
        <v>430</v>
      </c>
      <c r="H176" s="6" t="b">
        <v>0</v>
      </c>
      <c r="I176" s="5"/>
    </row>
    <row r="177" spans="1:9">
      <c r="A177" s="5" t="s">
        <v>335</v>
      </c>
      <c r="B177" s="5" t="s">
        <v>761</v>
      </c>
      <c r="C177" s="5">
        <v>3</v>
      </c>
      <c r="D177" s="5" t="s">
        <v>807</v>
      </c>
      <c r="E177" s="5" t="s">
        <v>432</v>
      </c>
      <c r="F177" s="5" t="s">
        <v>432</v>
      </c>
      <c r="G177" s="5" t="s">
        <v>433</v>
      </c>
      <c r="H177" s="6" t="b">
        <v>0</v>
      </c>
      <c r="I177" s="5"/>
    </row>
    <row r="178" spans="1:9">
      <c r="A178" s="5" t="s">
        <v>335</v>
      </c>
      <c r="B178" s="5" t="s">
        <v>761</v>
      </c>
      <c r="C178" s="5">
        <v>4</v>
      </c>
      <c r="D178" s="5" t="s">
        <v>808</v>
      </c>
      <c r="E178" s="5" t="s">
        <v>434</v>
      </c>
      <c r="F178" s="5" t="s">
        <v>434</v>
      </c>
      <c r="G178" s="5" t="s">
        <v>435</v>
      </c>
      <c r="H178" s="6" t="b">
        <v>0</v>
      </c>
      <c r="I178" s="5"/>
    </row>
    <row r="179" spans="1:9">
      <c r="A179" s="5" t="s">
        <v>335</v>
      </c>
      <c r="B179" s="5" t="s">
        <v>761</v>
      </c>
      <c r="C179" s="5">
        <v>5</v>
      </c>
      <c r="D179" s="5" t="s">
        <v>760</v>
      </c>
      <c r="E179" s="5" t="s">
        <v>278</v>
      </c>
      <c r="F179" s="5" t="s">
        <v>278</v>
      </c>
      <c r="G179" s="5" t="s">
        <v>279</v>
      </c>
      <c r="H179" s="6" t="b">
        <v>0</v>
      </c>
      <c r="I179" s="5"/>
    </row>
    <row r="180" spans="1:9">
      <c r="A180" s="5" t="s">
        <v>335</v>
      </c>
      <c r="B180" s="5" t="s">
        <v>761</v>
      </c>
      <c r="C180" s="5">
        <v>6</v>
      </c>
      <c r="D180" s="5" t="s">
        <v>809</v>
      </c>
      <c r="E180" s="5" t="s">
        <v>436</v>
      </c>
      <c r="F180" s="5" t="s">
        <v>436</v>
      </c>
      <c r="G180" s="5" t="s">
        <v>437</v>
      </c>
      <c r="H180" s="6" t="b">
        <v>0</v>
      </c>
      <c r="I180" s="5"/>
    </row>
    <row r="181" spans="1:9">
      <c r="A181" s="5" t="s">
        <v>335</v>
      </c>
      <c r="B181" s="5" t="s">
        <v>761</v>
      </c>
      <c r="C181" s="5">
        <v>7</v>
      </c>
      <c r="D181" s="5" t="s">
        <v>810</v>
      </c>
      <c r="E181" s="5" t="s">
        <v>438</v>
      </c>
      <c r="F181" s="5" t="s">
        <v>438</v>
      </c>
      <c r="G181" s="5" t="s">
        <v>439</v>
      </c>
      <c r="H181" s="6" t="b">
        <v>0</v>
      </c>
      <c r="I181" s="5"/>
    </row>
    <row r="182" spans="1:9">
      <c r="A182" s="5" t="s">
        <v>335</v>
      </c>
      <c r="B182" s="5" t="s">
        <v>761</v>
      </c>
      <c r="C182" s="5">
        <v>8</v>
      </c>
      <c r="D182" s="5" t="s">
        <v>811</v>
      </c>
      <c r="E182" s="5" t="s">
        <v>440</v>
      </c>
      <c r="F182" s="5" t="s">
        <v>440</v>
      </c>
      <c r="G182" s="5" t="s">
        <v>441</v>
      </c>
      <c r="H182" s="6" t="b">
        <v>1</v>
      </c>
      <c r="I182" s="5"/>
    </row>
    <row r="183" spans="1:9">
      <c r="A183" s="5" t="s">
        <v>444</v>
      </c>
      <c r="B183" s="5" t="s">
        <v>627</v>
      </c>
      <c r="C183" s="5">
        <v>1</v>
      </c>
      <c r="D183" s="5" t="s">
        <v>821</v>
      </c>
      <c r="E183" s="5" t="s">
        <v>442</v>
      </c>
      <c r="F183" s="5" t="s">
        <v>442</v>
      </c>
      <c r="G183" s="5" t="s">
        <v>443</v>
      </c>
      <c r="H183" s="6" t="b">
        <v>1</v>
      </c>
      <c r="I183" s="5"/>
    </row>
    <row r="184" spans="1:9">
      <c r="A184" s="5" t="s">
        <v>444</v>
      </c>
      <c r="B184" s="5" t="s">
        <v>627</v>
      </c>
      <c r="C184" s="5">
        <v>2</v>
      </c>
      <c r="D184" s="5" t="s">
        <v>822</v>
      </c>
      <c r="E184" s="5" t="s">
        <v>446</v>
      </c>
      <c r="F184" s="5" t="s">
        <v>446</v>
      </c>
      <c r="G184" s="5" t="s">
        <v>447</v>
      </c>
      <c r="H184" s="6" t="b">
        <v>0</v>
      </c>
      <c r="I184" s="5"/>
    </row>
    <row r="185" spans="1:9">
      <c r="A185" s="5" t="s">
        <v>444</v>
      </c>
      <c r="B185" s="5" t="s">
        <v>627</v>
      </c>
      <c r="C185" s="5">
        <v>3</v>
      </c>
      <c r="D185" s="5" t="s">
        <v>816</v>
      </c>
      <c r="E185" s="5" t="s">
        <v>217</v>
      </c>
      <c r="F185" s="5" t="s">
        <v>217</v>
      </c>
      <c r="G185" s="5" t="s">
        <v>218</v>
      </c>
      <c r="H185" s="6" t="b">
        <v>0</v>
      </c>
      <c r="I185" s="5"/>
    </row>
    <row r="186" spans="1:9">
      <c r="A186" s="5" t="s">
        <v>444</v>
      </c>
      <c r="B186" s="5" t="s">
        <v>627</v>
      </c>
      <c r="C186" s="5">
        <v>4</v>
      </c>
      <c r="D186" s="5" t="s">
        <v>823</v>
      </c>
      <c r="E186" s="5" t="s">
        <v>448</v>
      </c>
      <c r="F186" s="5" t="s">
        <v>448</v>
      </c>
      <c r="G186" s="5" t="s">
        <v>449</v>
      </c>
      <c r="H186" s="6" t="b">
        <v>0</v>
      </c>
      <c r="I186" s="5"/>
    </row>
    <row r="187" spans="1:9">
      <c r="A187" s="5" t="s">
        <v>444</v>
      </c>
      <c r="B187" s="5" t="s">
        <v>627</v>
      </c>
      <c r="C187" s="5">
        <v>5</v>
      </c>
      <c r="D187" s="5" t="s">
        <v>815</v>
      </c>
      <c r="E187" s="5" t="s">
        <v>213</v>
      </c>
      <c r="F187" s="5" t="s">
        <v>213</v>
      </c>
      <c r="G187" s="5" t="s">
        <v>214</v>
      </c>
      <c r="H187" s="6" t="b">
        <v>0</v>
      </c>
      <c r="I187" s="5"/>
    </row>
    <row r="188" spans="1:9">
      <c r="A188" s="5" t="s">
        <v>444</v>
      </c>
      <c r="B188" s="5" t="s">
        <v>627</v>
      </c>
      <c r="C188" s="5">
        <v>6</v>
      </c>
      <c r="D188" s="5" t="s">
        <v>824</v>
      </c>
      <c r="E188" s="5" t="s">
        <v>450</v>
      </c>
      <c r="F188" s="5" t="s">
        <v>450</v>
      </c>
      <c r="G188" s="5" t="s">
        <v>451</v>
      </c>
      <c r="H188" s="6" t="b">
        <v>0</v>
      </c>
      <c r="I188" s="5"/>
    </row>
    <row r="189" spans="1:9">
      <c r="A189" s="5" t="s">
        <v>444</v>
      </c>
      <c r="B189" s="5" t="s">
        <v>627</v>
      </c>
      <c r="C189" s="5">
        <v>7</v>
      </c>
      <c r="D189" s="5" t="s">
        <v>825</v>
      </c>
      <c r="E189" s="5" t="s">
        <v>452</v>
      </c>
      <c r="F189" s="5" t="s">
        <v>452</v>
      </c>
      <c r="G189" s="5" t="s">
        <v>453</v>
      </c>
      <c r="H189" s="6" t="b">
        <v>0</v>
      </c>
      <c r="I189" s="5"/>
    </row>
    <row r="190" spans="1:9">
      <c r="A190" s="5" t="s">
        <v>444</v>
      </c>
      <c r="B190" s="5" t="s">
        <v>627</v>
      </c>
      <c r="C190" s="5">
        <v>8</v>
      </c>
      <c r="D190" s="5" t="s">
        <v>826</v>
      </c>
      <c r="E190" s="5" t="s">
        <v>454</v>
      </c>
      <c r="F190" s="5" t="s">
        <v>454</v>
      </c>
      <c r="G190" s="5" t="s">
        <v>455</v>
      </c>
      <c r="H190" s="6" t="b">
        <v>0</v>
      </c>
      <c r="I190" s="5"/>
    </row>
    <row r="191" spans="1:9">
      <c r="A191" s="5" t="s">
        <v>444</v>
      </c>
      <c r="B191" s="5" t="s">
        <v>627</v>
      </c>
      <c r="C191" s="5">
        <v>9</v>
      </c>
      <c r="D191" s="5" t="s">
        <v>827</v>
      </c>
      <c r="E191" s="5" t="s">
        <v>456</v>
      </c>
      <c r="F191" s="5" t="s">
        <v>456</v>
      </c>
      <c r="G191" s="5" t="s">
        <v>457</v>
      </c>
      <c r="H191" s="6" t="b">
        <v>0</v>
      </c>
      <c r="I191" s="5"/>
    </row>
    <row r="192" spans="1:9">
      <c r="A192" s="5" t="s">
        <v>444</v>
      </c>
      <c r="B192" s="5" t="s">
        <v>627</v>
      </c>
      <c r="C192" s="5">
        <v>10</v>
      </c>
      <c r="D192" s="5" t="s">
        <v>828</v>
      </c>
      <c r="E192" s="5" t="s">
        <v>458</v>
      </c>
      <c r="F192" s="5" t="s">
        <v>458</v>
      </c>
      <c r="G192" s="5" t="s">
        <v>459</v>
      </c>
      <c r="H192" s="6" t="b">
        <v>0</v>
      </c>
      <c r="I192" s="5" t="s">
        <v>460</v>
      </c>
    </row>
    <row r="193" spans="1:9">
      <c r="A193" s="5" t="s">
        <v>444</v>
      </c>
      <c r="B193" s="5" t="s">
        <v>627</v>
      </c>
      <c r="C193" s="5">
        <v>11</v>
      </c>
      <c r="D193" s="5" t="s">
        <v>829</v>
      </c>
      <c r="E193" s="5" t="s">
        <v>461</v>
      </c>
      <c r="F193" s="5" t="s">
        <v>461</v>
      </c>
      <c r="G193" s="5" t="s">
        <v>462</v>
      </c>
      <c r="H193" s="6" t="b">
        <v>0</v>
      </c>
      <c r="I193" s="5"/>
    </row>
    <row r="194" spans="1:9">
      <c r="A194" s="5" t="s">
        <v>444</v>
      </c>
      <c r="B194" s="5" t="s">
        <v>627</v>
      </c>
      <c r="C194" s="5">
        <v>12</v>
      </c>
      <c r="D194" s="5" t="s">
        <v>830</v>
      </c>
      <c r="E194" s="5" t="s">
        <v>463</v>
      </c>
      <c r="F194" s="5" t="s">
        <v>463</v>
      </c>
      <c r="G194" s="5" t="s">
        <v>464</v>
      </c>
      <c r="H194" s="6" t="b">
        <v>0</v>
      </c>
      <c r="I194" s="5"/>
    </row>
    <row r="195" spans="1:9">
      <c r="A195" s="5" t="s">
        <v>444</v>
      </c>
      <c r="B195" s="5" t="s">
        <v>627</v>
      </c>
      <c r="C195" s="5">
        <v>13</v>
      </c>
      <c r="D195" s="5" t="s">
        <v>814</v>
      </c>
      <c r="E195" s="5" t="s">
        <v>178</v>
      </c>
      <c r="F195" s="5" t="s">
        <v>178</v>
      </c>
      <c r="G195" s="5" t="s">
        <v>179</v>
      </c>
      <c r="H195" s="6" t="b">
        <v>0</v>
      </c>
      <c r="I195" s="5"/>
    </row>
    <row r="196" spans="1:9">
      <c r="A196" s="5" t="s">
        <v>444</v>
      </c>
      <c r="B196" s="5" t="s">
        <v>627</v>
      </c>
      <c r="C196" s="5">
        <v>14</v>
      </c>
      <c r="D196" s="5" t="s">
        <v>831</v>
      </c>
      <c r="E196" s="5" t="s">
        <v>465</v>
      </c>
      <c r="F196" s="5" t="s">
        <v>465</v>
      </c>
      <c r="G196" s="5" t="s">
        <v>466</v>
      </c>
      <c r="H196" s="6" t="b">
        <v>0</v>
      </c>
      <c r="I196" s="5"/>
    </row>
    <row r="197" spans="1:9">
      <c r="A197" s="5" t="s">
        <v>444</v>
      </c>
      <c r="B197" s="5" t="s">
        <v>627</v>
      </c>
      <c r="C197" s="5">
        <v>15</v>
      </c>
      <c r="D197" s="5" t="s">
        <v>832</v>
      </c>
      <c r="E197" s="5" t="s">
        <v>467</v>
      </c>
      <c r="F197" s="5" t="s">
        <v>467</v>
      </c>
      <c r="G197" s="5" t="s">
        <v>468</v>
      </c>
      <c r="H197" s="6" t="b">
        <v>0</v>
      </c>
      <c r="I197" s="5"/>
    </row>
    <row r="198" spans="1:9">
      <c r="A198" s="5" t="s">
        <v>444</v>
      </c>
      <c r="B198" s="5" t="s">
        <v>627</v>
      </c>
      <c r="C198" s="5">
        <v>16</v>
      </c>
      <c r="D198" s="5" t="s">
        <v>833</v>
      </c>
      <c r="E198" s="5" t="s">
        <v>469</v>
      </c>
      <c r="F198" s="5" t="s">
        <v>469</v>
      </c>
      <c r="G198" s="5" t="s">
        <v>470</v>
      </c>
      <c r="H198" s="6" t="b">
        <v>0</v>
      </c>
      <c r="I198" s="5"/>
    </row>
    <row r="199" spans="1:9">
      <c r="A199" s="5" t="s">
        <v>444</v>
      </c>
      <c r="B199" s="5" t="s">
        <v>627</v>
      </c>
      <c r="C199" s="5">
        <v>17</v>
      </c>
      <c r="D199" s="5" t="s">
        <v>819</v>
      </c>
      <c r="E199" s="5" t="s">
        <v>369</v>
      </c>
      <c r="F199" s="5" t="s">
        <v>369</v>
      </c>
      <c r="G199" s="5" t="s">
        <v>370</v>
      </c>
      <c r="H199" s="6" t="b">
        <v>0</v>
      </c>
      <c r="I199" s="5"/>
    </row>
    <row r="200" spans="1:9">
      <c r="A200" s="5" t="s">
        <v>444</v>
      </c>
      <c r="B200" s="5" t="s">
        <v>627</v>
      </c>
      <c r="C200" s="5">
        <v>18</v>
      </c>
      <c r="D200" s="5" t="s">
        <v>834</v>
      </c>
      <c r="E200" s="5" t="s">
        <v>471</v>
      </c>
      <c r="F200" s="5" t="s">
        <v>471</v>
      </c>
      <c r="G200" s="5" t="s">
        <v>472</v>
      </c>
      <c r="H200" s="6" t="b">
        <v>0</v>
      </c>
      <c r="I200" s="5"/>
    </row>
    <row r="201" spans="1:9">
      <c r="A201" s="5" t="s">
        <v>444</v>
      </c>
      <c r="B201" s="5" t="s">
        <v>627</v>
      </c>
      <c r="C201" s="5">
        <v>19</v>
      </c>
      <c r="D201" s="5" t="s">
        <v>818</v>
      </c>
      <c r="E201" s="5" t="s">
        <v>318</v>
      </c>
      <c r="F201" s="5" t="s">
        <v>318</v>
      </c>
      <c r="G201" s="5" t="s">
        <v>319</v>
      </c>
      <c r="H201" s="6" t="b">
        <v>0</v>
      </c>
      <c r="I201" s="5"/>
    </row>
    <row r="202" spans="1:9">
      <c r="A202" s="5" t="s">
        <v>444</v>
      </c>
      <c r="B202" s="5" t="s">
        <v>627</v>
      </c>
      <c r="C202" s="5">
        <v>20</v>
      </c>
      <c r="D202" s="5" t="s">
        <v>835</v>
      </c>
      <c r="E202" s="5" t="s">
        <v>473</v>
      </c>
      <c r="F202" s="5" t="s">
        <v>473</v>
      </c>
      <c r="G202" s="5" t="s">
        <v>474</v>
      </c>
      <c r="H202" s="6" t="b">
        <v>0</v>
      </c>
      <c r="I202" s="5"/>
    </row>
    <row r="203" spans="1:9">
      <c r="A203" s="5" t="s">
        <v>444</v>
      </c>
      <c r="B203" s="5" t="s">
        <v>627</v>
      </c>
      <c r="C203" s="5">
        <v>21</v>
      </c>
      <c r="D203" s="5" t="s">
        <v>836</v>
      </c>
      <c r="E203" s="5" t="s">
        <v>475</v>
      </c>
      <c r="F203" s="5" t="s">
        <v>475</v>
      </c>
      <c r="G203" s="5" t="s">
        <v>476</v>
      </c>
      <c r="H203" s="6" t="b">
        <v>0</v>
      </c>
      <c r="I203" s="5"/>
    </row>
    <row r="204" spans="1:9">
      <c r="A204" s="5" t="s">
        <v>444</v>
      </c>
      <c r="B204" s="5" t="s">
        <v>627</v>
      </c>
      <c r="C204" s="5">
        <v>22</v>
      </c>
      <c r="D204" s="5" t="s">
        <v>837</v>
      </c>
      <c r="E204" s="5" t="s">
        <v>477</v>
      </c>
      <c r="F204" s="5" t="s">
        <v>477</v>
      </c>
      <c r="G204" s="5" t="s">
        <v>478</v>
      </c>
      <c r="H204" s="6" t="b">
        <v>0</v>
      </c>
      <c r="I204" s="5"/>
    </row>
    <row r="205" spans="1:9">
      <c r="A205" s="5" t="s">
        <v>444</v>
      </c>
      <c r="B205" s="5" t="s">
        <v>627</v>
      </c>
      <c r="C205" s="5">
        <v>23</v>
      </c>
      <c r="D205" s="5" t="s">
        <v>838</v>
      </c>
      <c r="E205" s="5" t="s">
        <v>479</v>
      </c>
      <c r="F205" s="5" t="s">
        <v>479</v>
      </c>
      <c r="G205" s="5" t="s">
        <v>480</v>
      </c>
      <c r="H205" s="6" t="b">
        <v>0</v>
      </c>
      <c r="I205" s="5"/>
    </row>
    <row r="206" spans="1:9">
      <c r="A206" s="5" t="s">
        <v>444</v>
      </c>
      <c r="B206" s="5" t="s">
        <v>627</v>
      </c>
      <c r="C206" s="5">
        <v>24</v>
      </c>
      <c r="D206" s="5" t="s">
        <v>817</v>
      </c>
      <c r="E206" s="5" t="s">
        <v>238</v>
      </c>
      <c r="F206" s="5" t="s">
        <v>238</v>
      </c>
      <c r="G206" s="5" t="s">
        <v>239</v>
      </c>
      <c r="H206" s="6" t="b">
        <v>0</v>
      </c>
      <c r="I206" s="5"/>
    </row>
    <row r="207" spans="1:9">
      <c r="A207" s="5" t="s">
        <v>444</v>
      </c>
      <c r="B207" s="5" t="s">
        <v>627</v>
      </c>
      <c r="C207" s="5">
        <v>25</v>
      </c>
      <c r="D207" s="5" t="s">
        <v>820</v>
      </c>
      <c r="E207" s="5" t="s">
        <v>380</v>
      </c>
      <c r="F207" s="5" t="s">
        <v>380</v>
      </c>
      <c r="G207" s="5" t="s">
        <v>381</v>
      </c>
      <c r="H207" s="6" t="b">
        <v>0</v>
      </c>
      <c r="I207" s="5"/>
    </row>
    <row r="208" spans="1:9">
      <c r="A208" s="5" t="s">
        <v>444</v>
      </c>
      <c r="B208" s="5" t="s">
        <v>627</v>
      </c>
      <c r="C208" s="5">
        <v>26</v>
      </c>
      <c r="D208" s="5" t="s">
        <v>813</v>
      </c>
      <c r="E208" s="5" t="s">
        <v>104</v>
      </c>
      <c r="F208" s="5" t="s">
        <v>104</v>
      </c>
      <c r="G208" s="5" t="s">
        <v>105</v>
      </c>
      <c r="H208" s="6" t="b">
        <v>0</v>
      </c>
      <c r="I208" s="5"/>
    </row>
    <row r="209" spans="1:9">
      <c r="A209" s="5" t="s">
        <v>444</v>
      </c>
      <c r="B209" s="5" t="s">
        <v>627</v>
      </c>
      <c r="C209" s="5">
        <v>27</v>
      </c>
      <c r="D209" s="5" t="s">
        <v>812</v>
      </c>
      <c r="E209" s="5" t="s">
        <v>75</v>
      </c>
      <c r="F209" s="5" t="s">
        <v>75</v>
      </c>
      <c r="G209" s="5" t="s">
        <v>76</v>
      </c>
      <c r="H209" s="6" t="b">
        <v>0</v>
      </c>
      <c r="I209" s="5"/>
    </row>
    <row r="210" spans="1:9">
      <c r="A210" s="5" t="s">
        <v>444</v>
      </c>
      <c r="B210" s="5" t="s">
        <v>627</v>
      </c>
      <c r="C210" s="5">
        <v>28</v>
      </c>
      <c r="D210" s="5" t="s">
        <v>839</v>
      </c>
      <c r="E210" s="5" t="s">
        <v>481</v>
      </c>
      <c r="F210" s="5" t="s">
        <v>481</v>
      </c>
      <c r="G210" s="5" t="s">
        <v>482</v>
      </c>
      <c r="H210" s="6" t="b">
        <v>0</v>
      </c>
      <c r="I210" s="5"/>
    </row>
    <row r="211" spans="1:9">
      <c r="A211" s="5" t="s">
        <v>444</v>
      </c>
      <c r="B211" s="5" t="s">
        <v>627</v>
      </c>
      <c r="C211" s="5">
        <v>29</v>
      </c>
      <c r="D211" s="5" t="s">
        <v>840</v>
      </c>
      <c r="E211" s="5" t="s">
        <v>483</v>
      </c>
      <c r="F211" s="5" t="s">
        <v>483</v>
      </c>
      <c r="G211" s="5" t="s">
        <v>484</v>
      </c>
      <c r="H211" s="6" t="b">
        <v>0</v>
      </c>
      <c r="I211" s="5"/>
    </row>
    <row r="212" spans="1:9">
      <c r="A212" s="5" t="s">
        <v>444</v>
      </c>
      <c r="B212" s="5" t="s">
        <v>627</v>
      </c>
      <c r="C212" s="5">
        <v>30</v>
      </c>
      <c r="D212" s="5" t="s">
        <v>841</v>
      </c>
      <c r="E212" s="5" t="s">
        <v>485</v>
      </c>
      <c r="F212" s="5" t="s">
        <v>485</v>
      </c>
      <c r="G212" s="5" t="s">
        <v>486</v>
      </c>
      <c r="H212" s="6" t="b">
        <v>0</v>
      </c>
      <c r="I212" s="5" t="s">
        <v>487</v>
      </c>
    </row>
    <row r="213" spans="1:9">
      <c r="A213" s="5" t="s">
        <v>444</v>
      </c>
      <c r="B213" s="5" t="s">
        <v>627</v>
      </c>
      <c r="C213" s="5">
        <v>31</v>
      </c>
      <c r="D213" s="5" t="s">
        <v>842</v>
      </c>
      <c r="E213" s="5" t="s">
        <v>488</v>
      </c>
      <c r="F213" s="5" t="s">
        <v>488</v>
      </c>
      <c r="G213" s="5" t="s">
        <v>489</v>
      </c>
      <c r="H213" s="6" t="b">
        <v>0</v>
      </c>
      <c r="I213" s="5" t="s">
        <v>490</v>
      </c>
    </row>
    <row r="214" spans="1:9">
      <c r="A214" s="5" t="s">
        <v>444</v>
      </c>
      <c r="B214" s="5" t="s">
        <v>627</v>
      </c>
      <c r="C214" s="5">
        <v>32</v>
      </c>
      <c r="D214" s="5" t="s">
        <v>843</v>
      </c>
      <c r="E214" s="5" t="s">
        <v>491</v>
      </c>
      <c r="F214" s="5" t="s">
        <v>491</v>
      </c>
      <c r="G214" s="5" t="s">
        <v>492</v>
      </c>
      <c r="H214" s="6" t="b">
        <v>0</v>
      </c>
      <c r="I214" s="5"/>
    </row>
    <row r="215" spans="1:9">
      <c r="A215" s="5" t="s">
        <v>444</v>
      </c>
      <c r="B215" s="5" t="s">
        <v>627</v>
      </c>
      <c r="C215" s="5">
        <v>33</v>
      </c>
      <c r="D215" s="5" t="s">
        <v>844</v>
      </c>
      <c r="E215" s="5" t="s">
        <v>493</v>
      </c>
      <c r="F215" s="5" t="s">
        <v>493</v>
      </c>
      <c r="G215" s="5" t="s">
        <v>494</v>
      </c>
      <c r="H215" s="6" t="b">
        <v>0</v>
      </c>
      <c r="I215" s="5"/>
    </row>
    <row r="216" spans="1:9">
      <c r="A216" s="5" t="s">
        <v>444</v>
      </c>
      <c r="B216" s="5" t="s">
        <v>627</v>
      </c>
      <c r="C216" s="5">
        <v>34</v>
      </c>
      <c r="D216" s="5" t="s">
        <v>845</v>
      </c>
      <c r="E216" s="5" t="s">
        <v>495</v>
      </c>
      <c r="F216" s="5" t="s">
        <v>495</v>
      </c>
      <c r="G216" s="5" t="s">
        <v>496</v>
      </c>
      <c r="H216" s="6" t="b">
        <v>0</v>
      </c>
      <c r="I216" s="5"/>
    </row>
    <row r="217" spans="1:9">
      <c r="A217" s="5" t="s">
        <v>444</v>
      </c>
      <c r="B217" s="5" t="s">
        <v>627</v>
      </c>
      <c r="C217" s="5">
        <v>35</v>
      </c>
      <c r="D217" s="5" t="s">
        <v>846</v>
      </c>
      <c r="E217" s="5" t="s">
        <v>497</v>
      </c>
      <c r="F217" s="5" t="s">
        <v>497</v>
      </c>
      <c r="G217" s="5" t="s">
        <v>498</v>
      </c>
      <c r="H217" s="6" t="b">
        <v>0</v>
      </c>
      <c r="I217" s="5"/>
    </row>
    <row r="218" spans="1:9">
      <c r="A218" s="5" t="s">
        <v>444</v>
      </c>
      <c r="B218" s="5" t="s">
        <v>627</v>
      </c>
      <c r="C218" s="5">
        <v>36</v>
      </c>
      <c r="D218" s="5" t="s">
        <v>847</v>
      </c>
      <c r="E218" s="5" t="s">
        <v>499</v>
      </c>
      <c r="F218" s="5" t="s">
        <v>499</v>
      </c>
      <c r="G218" s="5" t="s">
        <v>500</v>
      </c>
      <c r="H218" s="6" t="b">
        <v>0</v>
      </c>
      <c r="I218" s="5"/>
    </row>
    <row r="219" spans="1:9">
      <c r="A219" s="5" t="s">
        <v>444</v>
      </c>
      <c r="B219" s="5" t="s">
        <v>627</v>
      </c>
      <c r="C219" s="5">
        <v>37</v>
      </c>
      <c r="D219" s="5" t="s">
        <v>848</v>
      </c>
      <c r="E219" s="5" t="s">
        <v>503</v>
      </c>
      <c r="F219" s="5" t="s">
        <v>503</v>
      </c>
      <c r="G219" s="5" t="s">
        <v>504</v>
      </c>
      <c r="H219" s="6" t="b">
        <v>0</v>
      </c>
      <c r="I219" s="5"/>
    </row>
    <row r="220" spans="1:9">
      <c r="A220" s="5" t="s">
        <v>444</v>
      </c>
      <c r="B220" s="5" t="s">
        <v>627</v>
      </c>
      <c r="C220" s="5">
        <v>38</v>
      </c>
      <c r="D220" s="5" t="s">
        <v>849</v>
      </c>
      <c r="E220" s="5" t="s">
        <v>505</v>
      </c>
      <c r="F220" s="5" t="s">
        <v>505</v>
      </c>
      <c r="G220" s="5" t="s">
        <v>506</v>
      </c>
      <c r="H220" s="6" t="b">
        <v>0</v>
      </c>
      <c r="I220" s="5"/>
    </row>
    <row r="221" spans="1:9">
      <c r="A221" s="5" t="s">
        <v>444</v>
      </c>
      <c r="B221" s="5" t="s">
        <v>627</v>
      </c>
      <c r="C221" s="5">
        <v>39</v>
      </c>
      <c r="D221" s="5" t="s">
        <v>850</v>
      </c>
      <c r="E221" s="5" t="s">
        <v>507</v>
      </c>
      <c r="F221" s="5" t="s">
        <v>507</v>
      </c>
      <c r="G221" s="5" t="s">
        <v>508</v>
      </c>
      <c r="H221" s="6" t="b">
        <v>1</v>
      </c>
      <c r="I221" s="5"/>
    </row>
    <row r="222" spans="1:9">
      <c r="A222" s="5" t="s">
        <v>511</v>
      </c>
      <c r="B222" s="5" t="s">
        <v>627</v>
      </c>
      <c r="C222" s="5">
        <v>1</v>
      </c>
      <c r="D222" s="5" t="s">
        <v>858</v>
      </c>
      <c r="E222" s="5" t="s">
        <v>509</v>
      </c>
      <c r="F222" s="5" t="s">
        <v>509</v>
      </c>
      <c r="G222" s="5" t="s">
        <v>510</v>
      </c>
      <c r="H222" s="6" t="b">
        <v>1</v>
      </c>
      <c r="I222" s="5"/>
    </row>
    <row r="223" spans="1:9">
      <c r="A223" s="5" t="s">
        <v>511</v>
      </c>
      <c r="B223" s="5" t="s">
        <v>627</v>
      </c>
      <c r="C223" s="5">
        <v>2</v>
      </c>
      <c r="D223" s="5" t="s">
        <v>859</v>
      </c>
      <c r="E223" s="5" t="s">
        <v>513</v>
      </c>
      <c r="F223" s="5" t="s">
        <v>513</v>
      </c>
      <c r="G223" s="5" t="s">
        <v>514</v>
      </c>
      <c r="H223" s="6" t="b">
        <v>0</v>
      </c>
      <c r="I223" s="5"/>
    </row>
    <row r="224" spans="1:9">
      <c r="A224" s="5" t="s">
        <v>511</v>
      </c>
      <c r="B224" s="5" t="s">
        <v>627</v>
      </c>
      <c r="C224" s="5">
        <v>3</v>
      </c>
      <c r="D224" s="5" t="s">
        <v>860</v>
      </c>
      <c r="E224" s="5" t="s">
        <v>515</v>
      </c>
      <c r="F224" s="5" t="s">
        <v>515</v>
      </c>
      <c r="G224" s="5" t="s">
        <v>516</v>
      </c>
      <c r="H224" s="6" t="b">
        <v>0</v>
      </c>
      <c r="I224" s="5"/>
    </row>
    <row r="225" spans="1:9">
      <c r="A225" s="5" t="s">
        <v>511</v>
      </c>
      <c r="B225" s="5" t="s">
        <v>627</v>
      </c>
      <c r="C225" s="5">
        <v>4</v>
      </c>
      <c r="D225" s="5" t="s">
        <v>861</v>
      </c>
      <c r="E225" s="5" t="s">
        <v>517</v>
      </c>
      <c r="F225" s="5" t="s">
        <v>517</v>
      </c>
      <c r="G225" s="5" t="s">
        <v>518</v>
      </c>
      <c r="H225" s="6" t="b">
        <v>0</v>
      </c>
      <c r="I225" s="5"/>
    </row>
    <row r="226" spans="1:9">
      <c r="A226" s="5" t="s">
        <v>511</v>
      </c>
      <c r="B226" s="5" t="s">
        <v>627</v>
      </c>
      <c r="C226" s="5">
        <v>5</v>
      </c>
      <c r="D226" s="5" t="s">
        <v>854</v>
      </c>
      <c r="E226" s="5" t="s">
        <v>289</v>
      </c>
      <c r="F226" s="5" t="s">
        <v>289</v>
      </c>
      <c r="G226" s="5" t="s">
        <v>290</v>
      </c>
      <c r="H226" s="6" t="b">
        <v>0</v>
      </c>
      <c r="I226" s="5"/>
    </row>
    <row r="227" spans="1:9">
      <c r="A227" s="5" t="s">
        <v>511</v>
      </c>
      <c r="B227" s="5" t="s">
        <v>627</v>
      </c>
      <c r="C227" s="5">
        <v>6</v>
      </c>
      <c r="D227" s="5" t="s">
        <v>862</v>
      </c>
      <c r="E227" s="5" t="s">
        <v>519</v>
      </c>
      <c r="F227" s="5" t="s">
        <v>519</v>
      </c>
      <c r="G227" s="5" t="s">
        <v>520</v>
      </c>
      <c r="H227" s="6" t="b">
        <v>0</v>
      </c>
      <c r="I227" s="5"/>
    </row>
    <row r="228" spans="1:9">
      <c r="A228" s="5" t="s">
        <v>511</v>
      </c>
      <c r="B228" s="5" t="s">
        <v>627</v>
      </c>
      <c r="C228" s="5">
        <v>7</v>
      </c>
      <c r="D228" s="5" t="s">
        <v>863</v>
      </c>
      <c r="E228" s="5" t="s">
        <v>521</v>
      </c>
      <c r="F228" s="5" t="s">
        <v>521</v>
      </c>
      <c r="G228" s="5" t="s">
        <v>522</v>
      </c>
      <c r="H228" s="6" t="b">
        <v>0</v>
      </c>
      <c r="I228" s="5"/>
    </row>
    <row r="229" spans="1:9">
      <c r="A229" s="5" t="s">
        <v>511</v>
      </c>
      <c r="B229" s="5" t="s">
        <v>627</v>
      </c>
      <c r="C229" s="5">
        <v>8</v>
      </c>
      <c r="D229" s="5" t="s">
        <v>864</v>
      </c>
      <c r="E229" s="5" t="s">
        <v>523</v>
      </c>
      <c r="F229" s="5" t="s">
        <v>523</v>
      </c>
      <c r="G229" s="5" t="s">
        <v>524</v>
      </c>
      <c r="H229" s="6" t="b">
        <v>0</v>
      </c>
      <c r="I229" s="5"/>
    </row>
    <row r="230" spans="1:9">
      <c r="A230" s="5" t="s">
        <v>511</v>
      </c>
      <c r="B230" s="5" t="s">
        <v>627</v>
      </c>
      <c r="C230" s="5">
        <v>9</v>
      </c>
      <c r="D230" s="5" t="s">
        <v>857</v>
      </c>
      <c r="E230" s="5" t="s">
        <v>499</v>
      </c>
      <c r="F230" s="5" t="s">
        <v>499</v>
      </c>
      <c r="G230" s="5" t="s">
        <v>500</v>
      </c>
      <c r="H230" s="6" t="b">
        <v>0</v>
      </c>
      <c r="I230" s="5"/>
    </row>
    <row r="231" spans="1:9">
      <c r="A231" s="5" t="s">
        <v>511</v>
      </c>
      <c r="B231" s="5" t="s">
        <v>627</v>
      </c>
      <c r="C231" s="5">
        <v>10</v>
      </c>
      <c r="D231" s="5" t="s">
        <v>865</v>
      </c>
      <c r="E231" s="5" t="s">
        <v>525</v>
      </c>
      <c r="F231" s="5" t="s">
        <v>525</v>
      </c>
      <c r="G231" s="5" t="s">
        <v>526</v>
      </c>
      <c r="H231" s="6" t="b">
        <v>0</v>
      </c>
      <c r="I231" s="5"/>
    </row>
    <row r="232" spans="1:9">
      <c r="A232" s="5" t="s">
        <v>511</v>
      </c>
      <c r="B232" s="5" t="s">
        <v>627</v>
      </c>
      <c r="C232" s="5">
        <v>11</v>
      </c>
      <c r="D232" s="5" t="s">
        <v>866</v>
      </c>
      <c r="E232" s="5" t="s">
        <v>527</v>
      </c>
      <c r="F232" s="5" t="s">
        <v>527</v>
      </c>
      <c r="G232" s="5" t="s">
        <v>528</v>
      </c>
      <c r="H232" s="6" t="b">
        <v>0</v>
      </c>
      <c r="I232" s="5"/>
    </row>
    <row r="233" spans="1:9">
      <c r="A233" s="5" t="s">
        <v>511</v>
      </c>
      <c r="B233" s="5" t="s">
        <v>627</v>
      </c>
      <c r="C233" s="5">
        <v>12</v>
      </c>
      <c r="D233" s="5" t="s">
        <v>867</v>
      </c>
      <c r="E233" s="5" t="s">
        <v>529</v>
      </c>
      <c r="F233" s="5" t="s">
        <v>529</v>
      </c>
      <c r="G233" s="5" t="s">
        <v>530</v>
      </c>
      <c r="H233" s="6" t="b">
        <v>0</v>
      </c>
      <c r="I233" s="5"/>
    </row>
    <row r="234" spans="1:9">
      <c r="A234" s="5" t="s">
        <v>511</v>
      </c>
      <c r="B234" s="5" t="s">
        <v>627</v>
      </c>
      <c r="C234" s="5">
        <v>13</v>
      </c>
      <c r="D234" s="5" t="s">
        <v>868</v>
      </c>
      <c r="E234" s="5" t="s">
        <v>531</v>
      </c>
      <c r="F234" s="5" t="s">
        <v>531</v>
      </c>
      <c r="G234" s="5" t="s">
        <v>532</v>
      </c>
      <c r="H234" s="6" t="b">
        <v>0</v>
      </c>
      <c r="I234" s="5"/>
    </row>
    <row r="235" spans="1:9">
      <c r="A235" s="5" t="s">
        <v>511</v>
      </c>
      <c r="B235" s="5" t="s">
        <v>627</v>
      </c>
      <c r="C235" s="5">
        <v>14</v>
      </c>
      <c r="D235" s="5" t="s">
        <v>869</v>
      </c>
      <c r="E235" s="5" t="s">
        <v>533</v>
      </c>
      <c r="F235" s="5" t="s">
        <v>533</v>
      </c>
      <c r="G235" s="5" t="s">
        <v>534</v>
      </c>
      <c r="H235" s="6" t="b">
        <v>0</v>
      </c>
      <c r="I235" s="5"/>
    </row>
    <row r="236" spans="1:9">
      <c r="A236" s="5" t="s">
        <v>511</v>
      </c>
      <c r="B236" s="5" t="s">
        <v>627</v>
      </c>
      <c r="C236" s="5">
        <v>15</v>
      </c>
      <c r="D236" s="5" t="s">
        <v>870</v>
      </c>
      <c r="E236" s="5" t="s">
        <v>535</v>
      </c>
      <c r="F236" s="5" t="s">
        <v>535</v>
      </c>
      <c r="G236" s="5" t="s">
        <v>536</v>
      </c>
      <c r="H236" s="6" t="b">
        <v>0</v>
      </c>
      <c r="I236" s="5"/>
    </row>
    <row r="237" spans="1:9">
      <c r="A237" s="5" t="s">
        <v>511</v>
      </c>
      <c r="B237" s="5" t="s">
        <v>627</v>
      </c>
      <c r="C237" s="5">
        <v>16</v>
      </c>
      <c r="D237" s="5" t="s">
        <v>871</v>
      </c>
      <c r="E237" s="5" t="s">
        <v>537</v>
      </c>
      <c r="F237" s="5" t="s">
        <v>537</v>
      </c>
      <c r="G237" s="5" t="s">
        <v>538</v>
      </c>
      <c r="H237" s="6" t="b">
        <v>0</v>
      </c>
      <c r="I237" s="5"/>
    </row>
    <row r="238" spans="1:9">
      <c r="A238" s="5" t="s">
        <v>511</v>
      </c>
      <c r="B238" s="5" t="s">
        <v>627</v>
      </c>
      <c r="C238" s="5">
        <v>17</v>
      </c>
      <c r="D238" s="5" t="s">
        <v>856</v>
      </c>
      <c r="E238" s="5" t="s">
        <v>392</v>
      </c>
      <c r="F238" s="5" t="s">
        <v>392</v>
      </c>
      <c r="G238" s="5" t="s">
        <v>393</v>
      </c>
      <c r="H238" s="6" t="b">
        <v>0</v>
      </c>
      <c r="I238" s="5"/>
    </row>
    <row r="239" spans="1:9">
      <c r="A239" s="5" t="s">
        <v>511</v>
      </c>
      <c r="B239" s="5" t="s">
        <v>627</v>
      </c>
      <c r="C239" s="5">
        <v>18</v>
      </c>
      <c r="D239" s="5" t="s">
        <v>872</v>
      </c>
      <c r="E239" s="5" t="s">
        <v>539</v>
      </c>
      <c r="F239" s="5" t="s">
        <v>539</v>
      </c>
      <c r="G239" s="5" t="s">
        <v>540</v>
      </c>
      <c r="H239" s="6" t="b">
        <v>0</v>
      </c>
      <c r="I239" s="5"/>
    </row>
    <row r="240" spans="1:9">
      <c r="A240" s="5" t="s">
        <v>511</v>
      </c>
      <c r="B240" s="5" t="s">
        <v>627</v>
      </c>
      <c r="C240" s="5">
        <v>19</v>
      </c>
      <c r="D240" s="5" t="s">
        <v>851</v>
      </c>
      <c r="E240" s="5" t="s">
        <v>119</v>
      </c>
      <c r="F240" s="5" t="s">
        <v>119</v>
      </c>
      <c r="G240" s="5" t="s">
        <v>120</v>
      </c>
      <c r="H240" s="6" t="b">
        <v>0</v>
      </c>
      <c r="I240" s="5"/>
    </row>
    <row r="241" spans="1:9">
      <c r="A241" s="5" t="s">
        <v>511</v>
      </c>
      <c r="B241" s="5" t="s">
        <v>627</v>
      </c>
      <c r="C241" s="5">
        <v>20</v>
      </c>
      <c r="D241" s="5" t="s">
        <v>1033</v>
      </c>
      <c r="E241" s="5" t="s">
        <v>541</v>
      </c>
      <c r="F241" s="5" t="s">
        <v>541</v>
      </c>
      <c r="G241" s="5" t="s">
        <v>1031</v>
      </c>
      <c r="H241" s="6" t="b">
        <v>0</v>
      </c>
      <c r="I241" s="5" t="s">
        <v>541</v>
      </c>
    </row>
    <row r="242" spans="1:9">
      <c r="A242" s="5" t="s">
        <v>511</v>
      </c>
      <c r="B242" s="5" t="s">
        <v>627</v>
      </c>
      <c r="C242" s="5">
        <v>21</v>
      </c>
      <c r="D242" s="5" t="s">
        <v>873</v>
      </c>
      <c r="E242" s="5" t="s">
        <v>542</v>
      </c>
      <c r="F242" s="5" t="s">
        <v>542</v>
      </c>
      <c r="G242" s="5" t="s">
        <v>543</v>
      </c>
      <c r="H242" s="6" t="b">
        <v>0</v>
      </c>
      <c r="I242" s="5"/>
    </row>
    <row r="243" spans="1:9">
      <c r="A243" s="5" t="s">
        <v>511</v>
      </c>
      <c r="B243" s="5" t="s">
        <v>627</v>
      </c>
      <c r="C243" s="5">
        <v>22</v>
      </c>
      <c r="D243" s="5" t="s">
        <v>874</v>
      </c>
      <c r="E243" s="5" t="s">
        <v>544</v>
      </c>
      <c r="F243" s="5" t="s">
        <v>544</v>
      </c>
      <c r="G243" s="5" t="s">
        <v>545</v>
      </c>
      <c r="H243" s="6" t="b">
        <v>0</v>
      </c>
      <c r="I243" s="5"/>
    </row>
    <row r="244" spans="1:9">
      <c r="A244" s="5" t="s">
        <v>511</v>
      </c>
      <c r="B244" s="5" t="s">
        <v>627</v>
      </c>
      <c r="C244" s="5">
        <v>23</v>
      </c>
      <c r="D244" s="5" t="s">
        <v>875</v>
      </c>
      <c r="E244" s="5" t="s">
        <v>546</v>
      </c>
      <c r="F244" s="5" t="s">
        <v>546</v>
      </c>
      <c r="G244" s="5" t="s">
        <v>547</v>
      </c>
      <c r="H244" s="6" t="b">
        <v>0</v>
      </c>
      <c r="I244" s="5"/>
    </row>
    <row r="245" spans="1:9">
      <c r="A245" s="5" t="s">
        <v>511</v>
      </c>
      <c r="B245" s="5" t="s">
        <v>627</v>
      </c>
      <c r="C245" s="5">
        <v>24</v>
      </c>
      <c r="D245" s="5" t="s">
        <v>876</v>
      </c>
      <c r="E245" s="5" t="s">
        <v>548</v>
      </c>
      <c r="F245" s="5" t="s">
        <v>548</v>
      </c>
      <c r="G245" s="5" t="s">
        <v>549</v>
      </c>
      <c r="H245" s="6" t="b">
        <v>0</v>
      </c>
      <c r="I245" s="5"/>
    </row>
    <row r="246" spans="1:9">
      <c r="A246" s="5" t="s">
        <v>511</v>
      </c>
      <c r="B246" s="5" t="s">
        <v>627</v>
      </c>
      <c r="C246" s="5">
        <v>25</v>
      </c>
      <c r="D246" s="5" t="s">
        <v>877</v>
      </c>
      <c r="E246" s="5" t="s">
        <v>550</v>
      </c>
      <c r="F246" s="5" t="s">
        <v>550</v>
      </c>
      <c r="G246" s="5" t="s">
        <v>551</v>
      </c>
      <c r="H246" s="6" t="b">
        <v>0</v>
      </c>
      <c r="I246" s="5"/>
    </row>
    <row r="247" spans="1:9">
      <c r="A247" s="5" t="s">
        <v>511</v>
      </c>
      <c r="B247" s="5" t="s">
        <v>627</v>
      </c>
      <c r="C247" s="5">
        <v>26</v>
      </c>
      <c r="D247" s="5" t="s">
        <v>853</v>
      </c>
      <c r="E247" s="5" t="s">
        <v>250</v>
      </c>
      <c r="F247" s="5" t="s">
        <v>250</v>
      </c>
      <c r="G247" s="5" t="s">
        <v>251</v>
      </c>
      <c r="H247" s="6" t="b">
        <v>0</v>
      </c>
      <c r="I247" s="5"/>
    </row>
    <row r="248" spans="1:9">
      <c r="A248" s="5" t="s">
        <v>511</v>
      </c>
      <c r="B248" s="5" t="s">
        <v>627</v>
      </c>
      <c r="C248" s="5">
        <v>27</v>
      </c>
      <c r="D248" s="5" t="s">
        <v>878</v>
      </c>
      <c r="E248" s="5" t="s">
        <v>552</v>
      </c>
      <c r="F248" s="5" t="s">
        <v>552</v>
      </c>
      <c r="G248" s="5" t="s">
        <v>553</v>
      </c>
      <c r="H248" s="6" t="b">
        <v>0</v>
      </c>
      <c r="I248" s="5"/>
    </row>
    <row r="249" spans="1:9">
      <c r="A249" s="5" t="s">
        <v>511</v>
      </c>
      <c r="B249" s="5" t="s">
        <v>627</v>
      </c>
      <c r="C249" s="5">
        <v>28</v>
      </c>
      <c r="D249" s="5" t="s">
        <v>855</v>
      </c>
      <c r="E249" s="5" t="s">
        <v>328</v>
      </c>
      <c r="F249" s="5" t="s">
        <v>328</v>
      </c>
      <c r="G249" s="5" t="s">
        <v>329</v>
      </c>
      <c r="H249" s="6" t="b">
        <v>0</v>
      </c>
      <c r="I249" s="5" t="s">
        <v>330</v>
      </c>
    </row>
    <row r="250" spans="1:9">
      <c r="A250" s="5" t="s">
        <v>511</v>
      </c>
      <c r="B250" s="5" t="s">
        <v>627</v>
      </c>
      <c r="C250" s="5">
        <v>29</v>
      </c>
      <c r="D250" s="5" t="s">
        <v>879</v>
      </c>
      <c r="E250" s="5" t="s">
        <v>554</v>
      </c>
      <c r="F250" s="5" t="s">
        <v>554</v>
      </c>
      <c r="G250" s="5" t="s">
        <v>555</v>
      </c>
      <c r="H250" s="6" t="b">
        <v>0</v>
      </c>
      <c r="I250" s="5"/>
    </row>
    <row r="251" spans="1:9">
      <c r="A251" s="5" t="s">
        <v>511</v>
      </c>
      <c r="B251" s="5" t="s">
        <v>627</v>
      </c>
      <c r="C251" s="5">
        <v>30</v>
      </c>
      <c r="D251" s="5" t="s">
        <v>880</v>
      </c>
      <c r="E251" s="5" t="s">
        <v>556</v>
      </c>
      <c r="F251" s="5" t="s">
        <v>556</v>
      </c>
      <c r="G251" s="5" t="s">
        <v>557</v>
      </c>
      <c r="H251" s="6" t="b">
        <v>0</v>
      </c>
      <c r="I251" s="5"/>
    </row>
    <row r="252" spans="1:9">
      <c r="A252" s="5" t="s">
        <v>511</v>
      </c>
      <c r="B252" s="5" t="s">
        <v>627</v>
      </c>
      <c r="C252" s="5">
        <v>31</v>
      </c>
      <c r="D252" s="5" t="s">
        <v>881</v>
      </c>
      <c r="E252" s="5" t="s">
        <v>558</v>
      </c>
      <c r="F252" s="5" t="s">
        <v>558</v>
      </c>
      <c r="G252" s="5" t="s">
        <v>559</v>
      </c>
      <c r="H252" s="6" t="b">
        <v>0</v>
      </c>
      <c r="I252" s="5"/>
    </row>
    <row r="253" spans="1:9">
      <c r="A253" s="5" t="s">
        <v>511</v>
      </c>
      <c r="B253" s="5" t="s">
        <v>627</v>
      </c>
      <c r="C253" s="5">
        <v>32</v>
      </c>
      <c r="D253" s="5" t="s">
        <v>882</v>
      </c>
      <c r="E253" s="5" t="s">
        <v>560</v>
      </c>
      <c r="F253" s="5" t="s">
        <v>560</v>
      </c>
      <c r="G253" s="5" t="s">
        <v>561</v>
      </c>
      <c r="H253" s="6" t="b">
        <v>0</v>
      </c>
      <c r="I253" s="5"/>
    </row>
    <row r="254" spans="1:9">
      <c r="A254" s="5" t="s">
        <v>511</v>
      </c>
      <c r="B254" s="5" t="s">
        <v>627</v>
      </c>
      <c r="C254" s="5">
        <v>33</v>
      </c>
      <c r="D254" s="5" t="s">
        <v>883</v>
      </c>
      <c r="E254" s="5" t="s">
        <v>562</v>
      </c>
      <c r="F254" s="5" t="s">
        <v>562</v>
      </c>
      <c r="G254" s="5" t="s">
        <v>563</v>
      </c>
      <c r="H254" s="6" t="b">
        <v>0</v>
      </c>
      <c r="I254" s="5"/>
    </row>
    <row r="255" spans="1:9">
      <c r="A255" s="5" t="s">
        <v>511</v>
      </c>
      <c r="B255" s="5" t="s">
        <v>627</v>
      </c>
      <c r="C255" s="5">
        <v>34</v>
      </c>
      <c r="D255" s="5" t="s">
        <v>884</v>
      </c>
      <c r="E255" s="5" t="s">
        <v>564</v>
      </c>
      <c r="F255" s="5" t="s">
        <v>564</v>
      </c>
      <c r="G255" s="5" t="s">
        <v>565</v>
      </c>
      <c r="H255" s="6" t="b">
        <v>0</v>
      </c>
      <c r="I255" s="5"/>
    </row>
    <row r="256" spans="1:9">
      <c r="A256" s="5" t="s">
        <v>511</v>
      </c>
      <c r="B256" s="5" t="s">
        <v>627</v>
      </c>
      <c r="C256" s="5">
        <v>35</v>
      </c>
      <c r="D256" s="5" t="s">
        <v>885</v>
      </c>
      <c r="E256" s="5" t="s">
        <v>566</v>
      </c>
      <c r="F256" s="5" t="s">
        <v>566</v>
      </c>
      <c r="G256" s="5" t="s">
        <v>567</v>
      </c>
      <c r="H256" s="6" t="b">
        <v>0</v>
      </c>
      <c r="I256" s="5"/>
    </row>
    <row r="257" spans="1:9">
      <c r="A257" s="5" t="s">
        <v>511</v>
      </c>
      <c r="B257" s="5" t="s">
        <v>627</v>
      </c>
      <c r="C257" s="5">
        <v>36</v>
      </c>
      <c r="D257" s="5" t="s">
        <v>852</v>
      </c>
      <c r="E257" s="5" t="s">
        <v>167</v>
      </c>
      <c r="F257" s="5" t="s">
        <v>167</v>
      </c>
      <c r="G257" s="5" t="s">
        <v>168</v>
      </c>
      <c r="H257" s="6" t="b">
        <v>0</v>
      </c>
      <c r="I257" s="5"/>
    </row>
    <row r="258" spans="1:9">
      <c r="A258" s="5" t="s">
        <v>511</v>
      </c>
      <c r="B258" s="5" t="s">
        <v>627</v>
      </c>
      <c r="C258" s="5">
        <v>37</v>
      </c>
      <c r="D258" s="5" t="s">
        <v>886</v>
      </c>
      <c r="E258" s="5" t="s">
        <v>568</v>
      </c>
      <c r="F258" s="5" t="s">
        <v>568</v>
      </c>
      <c r="G258" s="5" t="s">
        <v>569</v>
      </c>
      <c r="H258" s="6" t="b">
        <v>0</v>
      </c>
      <c r="I258" s="5"/>
    </row>
    <row r="259" spans="1:9">
      <c r="A259" s="5" t="s">
        <v>511</v>
      </c>
      <c r="B259" s="5" t="s">
        <v>627</v>
      </c>
      <c r="C259" s="5">
        <v>38</v>
      </c>
      <c r="D259" s="5" t="s">
        <v>887</v>
      </c>
      <c r="E259" s="5" t="s">
        <v>570</v>
      </c>
      <c r="F259" s="5" t="s">
        <v>570</v>
      </c>
      <c r="G259" s="5" t="s">
        <v>571</v>
      </c>
      <c r="H259" s="6" t="b">
        <v>0</v>
      </c>
      <c r="I259" s="5"/>
    </row>
    <row r="260" spans="1:9">
      <c r="A260" s="5" t="s">
        <v>511</v>
      </c>
      <c r="B260" s="5" t="s">
        <v>627</v>
      </c>
      <c r="C260" s="5">
        <v>39</v>
      </c>
      <c r="D260" s="5" t="s">
        <v>888</v>
      </c>
      <c r="E260" s="5" t="s">
        <v>572</v>
      </c>
      <c r="F260" s="5" t="s">
        <v>572</v>
      </c>
      <c r="G260" s="5" t="s">
        <v>573</v>
      </c>
      <c r="H260" s="6" t="b">
        <v>0</v>
      </c>
      <c r="I260" s="5"/>
    </row>
    <row r="261" spans="1:9">
      <c r="A261" s="5" t="s">
        <v>511</v>
      </c>
      <c r="B261" s="5" t="s">
        <v>627</v>
      </c>
      <c r="C261" s="5">
        <v>40</v>
      </c>
      <c r="D261" s="5" t="s">
        <v>889</v>
      </c>
      <c r="E261" s="5" t="s">
        <v>574</v>
      </c>
      <c r="F261" s="5" t="s">
        <v>574</v>
      </c>
      <c r="G261" s="5" t="s">
        <v>575</v>
      </c>
      <c r="H261" s="6" t="b">
        <v>0</v>
      </c>
      <c r="I261" s="5"/>
    </row>
    <row r="262" spans="1:9">
      <c r="A262" s="5" t="s">
        <v>511</v>
      </c>
      <c r="B262" s="5" t="s">
        <v>627</v>
      </c>
      <c r="C262" s="5">
        <v>41</v>
      </c>
      <c r="D262" s="5" t="s">
        <v>890</v>
      </c>
      <c r="E262" s="5" t="s">
        <v>576</v>
      </c>
      <c r="F262" s="5" t="s">
        <v>576</v>
      </c>
      <c r="G262" s="5" t="s">
        <v>577</v>
      </c>
      <c r="H262" s="6" t="b">
        <v>0</v>
      </c>
      <c r="I262" s="5"/>
    </row>
    <row r="263" spans="1:9">
      <c r="A263" s="5" t="s">
        <v>511</v>
      </c>
      <c r="B263" s="5" t="s">
        <v>627</v>
      </c>
      <c r="C263" s="5">
        <v>42</v>
      </c>
      <c r="D263" s="5" t="s">
        <v>891</v>
      </c>
      <c r="E263" s="5" t="s">
        <v>578</v>
      </c>
      <c r="F263" s="5" t="s">
        <v>578</v>
      </c>
      <c r="G263" s="5" t="s">
        <v>579</v>
      </c>
      <c r="H263" s="6" t="b">
        <v>1</v>
      </c>
      <c r="I263" s="5"/>
    </row>
    <row r="264" spans="1:9">
      <c r="A264" s="5" t="s">
        <v>582</v>
      </c>
      <c r="B264" s="5" t="s">
        <v>627</v>
      </c>
      <c r="C264" s="5">
        <v>1</v>
      </c>
      <c r="D264" s="5" t="s">
        <v>895</v>
      </c>
      <c r="E264" s="5" t="s">
        <v>580</v>
      </c>
      <c r="F264" s="5" t="s">
        <v>580</v>
      </c>
      <c r="G264" s="5" t="s">
        <v>581</v>
      </c>
      <c r="H264" s="6" t="b">
        <v>1</v>
      </c>
      <c r="I264" s="5"/>
    </row>
    <row r="265" spans="1:9">
      <c r="A265" s="5" t="s">
        <v>582</v>
      </c>
      <c r="B265" s="5" t="s">
        <v>627</v>
      </c>
      <c r="C265" s="5">
        <v>2</v>
      </c>
      <c r="D265" s="5" t="s">
        <v>896</v>
      </c>
      <c r="E265" s="5" t="s">
        <v>584</v>
      </c>
      <c r="F265" s="5" t="s">
        <v>584</v>
      </c>
      <c r="G265" s="5" t="s">
        <v>585</v>
      </c>
      <c r="H265" s="6" t="b">
        <v>0</v>
      </c>
      <c r="I265" s="5"/>
    </row>
    <row r="266" spans="1:9">
      <c r="A266" s="5" t="s">
        <v>582</v>
      </c>
      <c r="B266" s="5" t="s">
        <v>627</v>
      </c>
      <c r="C266" s="5">
        <v>3</v>
      </c>
      <c r="D266" s="5" t="s">
        <v>894</v>
      </c>
      <c r="E266" s="5" t="s">
        <v>400</v>
      </c>
      <c r="F266" s="5" t="s">
        <v>400</v>
      </c>
      <c r="G266" s="5" t="s">
        <v>401</v>
      </c>
      <c r="H266" s="6" t="b">
        <v>0</v>
      </c>
      <c r="I266" s="5"/>
    </row>
    <row r="267" spans="1:9">
      <c r="A267" s="5" t="s">
        <v>582</v>
      </c>
      <c r="B267" s="5" t="s">
        <v>627</v>
      </c>
      <c r="C267" s="5">
        <v>4</v>
      </c>
      <c r="D267" s="5" t="s">
        <v>897</v>
      </c>
      <c r="E267" s="5" t="s">
        <v>586</v>
      </c>
      <c r="F267" s="5" t="s">
        <v>586</v>
      </c>
      <c r="G267" s="5" t="s">
        <v>587</v>
      </c>
      <c r="H267" s="6" t="b">
        <v>0</v>
      </c>
      <c r="I267" s="5"/>
    </row>
    <row r="268" spans="1:9">
      <c r="A268" s="5" t="s">
        <v>582</v>
      </c>
      <c r="B268" s="5" t="s">
        <v>627</v>
      </c>
      <c r="C268" s="5">
        <v>5</v>
      </c>
      <c r="D268" s="5" t="s">
        <v>898</v>
      </c>
      <c r="E268" s="5" t="s">
        <v>588</v>
      </c>
      <c r="F268" s="5" t="s">
        <v>588</v>
      </c>
      <c r="G268" s="5" t="s">
        <v>589</v>
      </c>
      <c r="H268" s="6" t="b">
        <v>0</v>
      </c>
      <c r="I268" s="5"/>
    </row>
    <row r="269" spans="1:9">
      <c r="A269" s="5" t="s">
        <v>582</v>
      </c>
      <c r="B269" s="5" t="s">
        <v>627</v>
      </c>
      <c r="C269" s="5">
        <v>6</v>
      </c>
      <c r="D269" s="5" t="s">
        <v>892</v>
      </c>
      <c r="E269" s="5" t="s">
        <v>129</v>
      </c>
      <c r="F269" s="5" t="s">
        <v>129</v>
      </c>
      <c r="G269" s="5" t="s">
        <v>130</v>
      </c>
      <c r="H269" s="6" t="b">
        <v>0</v>
      </c>
      <c r="I269" s="5"/>
    </row>
    <row r="270" spans="1:9">
      <c r="A270" s="5" t="s">
        <v>582</v>
      </c>
      <c r="B270" s="5" t="s">
        <v>627</v>
      </c>
      <c r="C270" s="5">
        <v>7</v>
      </c>
      <c r="D270" s="5" t="s">
        <v>899</v>
      </c>
      <c r="E270" s="5" t="s">
        <v>590</v>
      </c>
      <c r="F270" s="5" t="s">
        <v>590</v>
      </c>
      <c r="G270" s="5" t="s">
        <v>591</v>
      </c>
      <c r="H270" s="6" t="b">
        <v>0</v>
      </c>
      <c r="I270" s="5"/>
    </row>
    <row r="271" spans="1:9">
      <c r="A271" s="5" t="s">
        <v>582</v>
      </c>
      <c r="B271" s="5" t="s">
        <v>627</v>
      </c>
      <c r="C271" s="5">
        <v>8</v>
      </c>
      <c r="D271" s="5" t="s">
        <v>900</v>
      </c>
      <c r="E271" s="5" t="s">
        <v>592</v>
      </c>
      <c r="F271" s="5" t="s">
        <v>592</v>
      </c>
      <c r="G271" s="5" t="s">
        <v>593</v>
      </c>
      <c r="H271" s="6" t="b">
        <v>0</v>
      </c>
      <c r="I271" s="5"/>
    </row>
    <row r="272" spans="1:9">
      <c r="A272" s="5" t="s">
        <v>582</v>
      </c>
      <c r="B272" s="5" t="s">
        <v>627</v>
      </c>
      <c r="C272" s="5">
        <v>9</v>
      </c>
      <c r="D272" s="5" t="s">
        <v>893</v>
      </c>
      <c r="E272" s="5" t="s">
        <v>272</v>
      </c>
      <c r="F272" s="5" t="s">
        <v>272</v>
      </c>
      <c r="G272" s="5" t="s">
        <v>273</v>
      </c>
      <c r="H272" s="6" t="b">
        <v>0</v>
      </c>
      <c r="I272" s="5"/>
    </row>
    <row r="273" spans="1:9">
      <c r="A273" s="5" t="s">
        <v>582</v>
      </c>
      <c r="B273" s="5" t="s">
        <v>627</v>
      </c>
      <c r="C273" s="5">
        <v>10</v>
      </c>
      <c r="D273" s="5" t="s">
        <v>901</v>
      </c>
      <c r="E273" s="5" t="s">
        <v>594</v>
      </c>
      <c r="F273" s="5" t="s">
        <v>594</v>
      </c>
      <c r="G273" s="5" t="s">
        <v>595</v>
      </c>
      <c r="H273" s="6" t="b">
        <v>0</v>
      </c>
      <c r="I273" s="5"/>
    </row>
    <row r="274" spans="1:9">
      <c r="A274" s="5" t="s">
        <v>582</v>
      </c>
      <c r="B274" s="5" t="s">
        <v>627</v>
      </c>
      <c r="C274" s="5">
        <v>11</v>
      </c>
      <c r="D274" s="5" t="s">
        <v>902</v>
      </c>
      <c r="E274" s="5" t="s">
        <v>596</v>
      </c>
      <c r="F274" s="5" t="s">
        <v>596</v>
      </c>
      <c r="G274" s="5" t="s">
        <v>597</v>
      </c>
      <c r="H274" s="6" t="b">
        <v>0</v>
      </c>
      <c r="I274" s="5"/>
    </row>
    <row r="275" spans="1:9">
      <c r="A275" s="5" t="s">
        <v>582</v>
      </c>
      <c r="B275" s="5" t="s">
        <v>627</v>
      </c>
      <c r="C275" s="5">
        <v>12</v>
      </c>
      <c r="D275" s="5" t="s">
        <v>903</v>
      </c>
      <c r="E275" s="5" t="s">
        <v>598</v>
      </c>
      <c r="F275" s="5" t="s">
        <v>598</v>
      </c>
      <c r="G275" s="5" t="s">
        <v>599</v>
      </c>
      <c r="H275" s="6" t="b">
        <v>0</v>
      </c>
      <c r="I275" s="5"/>
    </row>
    <row r="276" spans="1:9">
      <c r="A276" s="5" t="s">
        <v>582</v>
      </c>
      <c r="B276" s="5" t="s">
        <v>627</v>
      </c>
      <c r="C276" s="5">
        <v>13</v>
      </c>
      <c r="D276" s="5" t="s">
        <v>904</v>
      </c>
      <c r="E276" s="5" t="s">
        <v>600</v>
      </c>
      <c r="F276" s="5" t="s">
        <v>600</v>
      </c>
      <c r="G276" s="5" t="s">
        <v>601</v>
      </c>
      <c r="H276" s="6" t="b">
        <v>0</v>
      </c>
      <c r="I276" s="5"/>
    </row>
    <row r="277" spans="1:9">
      <c r="A277" s="5" t="s">
        <v>582</v>
      </c>
      <c r="B277" s="5" t="s">
        <v>627</v>
      </c>
      <c r="C277" s="5">
        <v>14</v>
      </c>
      <c r="D277" s="5" t="s">
        <v>905</v>
      </c>
      <c r="E277" s="5" t="s">
        <v>602</v>
      </c>
      <c r="F277" s="5" t="s">
        <v>602</v>
      </c>
      <c r="G277" s="5" t="s">
        <v>603</v>
      </c>
      <c r="H277" s="6" t="b">
        <v>0</v>
      </c>
      <c r="I277" s="5"/>
    </row>
    <row r="278" spans="1:9">
      <c r="A278" s="5" t="s">
        <v>582</v>
      </c>
      <c r="B278" s="5" t="s">
        <v>627</v>
      </c>
      <c r="C278" s="5">
        <v>15</v>
      </c>
      <c r="D278" s="5" t="s">
        <v>906</v>
      </c>
      <c r="E278" s="5" t="s">
        <v>604</v>
      </c>
      <c r="F278" s="5" t="s">
        <v>604</v>
      </c>
      <c r="G278" s="5" t="s">
        <v>605</v>
      </c>
      <c r="H278" s="6" t="b">
        <v>0</v>
      </c>
      <c r="I278" s="5"/>
    </row>
    <row r="279" spans="1:9">
      <c r="A279" s="5" t="s">
        <v>582</v>
      </c>
      <c r="B279" s="5" t="s">
        <v>627</v>
      </c>
      <c r="C279" s="5">
        <v>16</v>
      </c>
      <c r="D279" s="5" t="s">
        <v>907</v>
      </c>
      <c r="E279" s="5" t="s">
        <v>606</v>
      </c>
      <c r="F279" s="5" t="s">
        <v>606</v>
      </c>
      <c r="G279" s="5" t="s">
        <v>607</v>
      </c>
      <c r="H279" s="6" t="b">
        <v>0</v>
      </c>
      <c r="I279" s="5"/>
    </row>
    <row r="280" spans="1:9">
      <c r="A280" s="5" t="s">
        <v>582</v>
      </c>
      <c r="B280" s="5" t="s">
        <v>627</v>
      </c>
      <c r="C280" s="5">
        <v>17</v>
      </c>
      <c r="D280" s="5" t="s">
        <v>908</v>
      </c>
      <c r="E280" s="5" t="s">
        <v>608</v>
      </c>
      <c r="F280" s="5" t="s">
        <v>608</v>
      </c>
      <c r="G280" s="5" t="s">
        <v>609</v>
      </c>
      <c r="H280" s="6" t="b">
        <v>0</v>
      </c>
      <c r="I280" s="5"/>
    </row>
    <row r="281" spans="1:9">
      <c r="A281" s="5" t="s">
        <v>582</v>
      </c>
      <c r="B281" s="5" t="s">
        <v>627</v>
      </c>
      <c r="C281" s="5">
        <v>18</v>
      </c>
      <c r="D281" s="5" t="s">
        <v>909</v>
      </c>
      <c r="E281" s="5" t="s">
        <v>610</v>
      </c>
      <c r="F281" s="5" t="s">
        <v>610</v>
      </c>
      <c r="G281" s="5" t="s">
        <v>611</v>
      </c>
      <c r="H281" s="6" t="b">
        <v>0</v>
      </c>
      <c r="I281" s="5"/>
    </row>
    <row r="282" spans="1:9">
      <c r="A282" s="5" t="s">
        <v>582</v>
      </c>
      <c r="B282" s="5" t="s">
        <v>627</v>
      </c>
      <c r="C282" s="5">
        <v>19</v>
      </c>
      <c r="D282" s="5" t="s">
        <v>910</v>
      </c>
      <c r="E282" s="5" t="s">
        <v>612</v>
      </c>
      <c r="F282" s="5" t="s">
        <v>612</v>
      </c>
      <c r="G282" s="5" t="s">
        <v>613</v>
      </c>
      <c r="H282" s="6" t="b">
        <v>1</v>
      </c>
      <c r="I282" s="5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0"/>
  <sheetViews>
    <sheetView workbookViewId="0"/>
  </sheetViews>
  <sheetFormatPr defaultRowHeight="14.25"/>
  <cols>
    <col min="1" max="2" width="22" customWidth="1"/>
    <col min="3" max="4" width="12" customWidth="1"/>
    <col min="5" max="6" width="30" customWidth="1"/>
    <col min="7" max="7" width="16" customWidth="1"/>
    <col min="8" max="8" width="18" customWidth="1"/>
    <col min="9" max="9" width="16" customWidth="1"/>
    <col min="10" max="10" width="60" customWidth="1"/>
  </cols>
  <sheetData>
    <row r="1" spans="1:26" ht="27.95" customHeight="1">
      <c r="A1" s="12" t="s">
        <v>46</v>
      </c>
      <c r="B1" s="12" t="s">
        <v>47</v>
      </c>
      <c r="C1" s="12" t="s">
        <v>936</v>
      </c>
      <c r="D1" s="12" t="s">
        <v>937</v>
      </c>
      <c r="E1" s="12" t="s">
        <v>938</v>
      </c>
      <c r="F1" s="12" t="s">
        <v>939</v>
      </c>
      <c r="G1" s="12" t="s">
        <v>940</v>
      </c>
      <c r="H1" s="12" t="s">
        <v>941</v>
      </c>
      <c r="I1" s="12" t="s">
        <v>942</v>
      </c>
      <c r="J1" s="12" t="s">
        <v>55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8.5">
      <c r="A2" s="5" t="s">
        <v>56</v>
      </c>
      <c r="B2" s="5" t="s">
        <v>56</v>
      </c>
      <c r="C2" s="5" t="s">
        <v>65</v>
      </c>
      <c r="D2" s="5" t="s">
        <v>284</v>
      </c>
      <c r="E2" s="5" t="s">
        <v>626</v>
      </c>
      <c r="F2" s="5" t="s">
        <v>726</v>
      </c>
      <c r="G2" s="5" t="s">
        <v>943</v>
      </c>
      <c r="H2" s="6" t="b">
        <v>1</v>
      </c>
      <c r="I2" s="5" t="s">
        <v>944</v>
      </c>
      <c r="J2" s="5" t="s">
        <v>945</v>
      </c>
    </row>
    <row r="3" spans="1:26" ht="28.5">
      <c r="A3" s="5" t="s">
        <v>59</v>
      </c>
      <c r="B3" s="5" t="s">
        <v>59</v>
      </c>
      <c r="C3" s="5" t="s">
        <v>65</v>
      </c>
      <c r="D3" s="5" t="s">
        <v>89</v>
      </c>
      <c r="E3" s="5" t="s">
        <v>628</v>
      </c>
      <c r="F3" s="5" t="s">
        <v>637</v>
      </c>
      <c r="G3" s="5" t="s">
        <v>943</v>
      </c>
      <c r="H3" s="6" t="b">
        <v>1</v>
      </c>
      <c r="I3" s="5" t="s">
        <v>944</v>
      </c>
      <c r="J3" s="5" t="s">
        <v>945</v>
      </c>
    </row>
    <row r="4" spans="1:26" ht="28.5">
      <c r="A4" s="5" t="s">
        <v>67</v>
      </c>
      <c r="B4" s="5" t="s">
        <v>67</v>
      </c>
      <c r="C4" s="5" t="s">
        <v>65</v>
      </c>
      <c r="D4" s="5" t="s">
        <v>209</v>
      </c>
      <c r="E4" s="5" t="s">
        <v>630</v>
      </c>
      <c r="F4" s="5" t="s">
        <v>692</v>
      </c>
      <c r="G4" s="5" t="s">
        <v>943</v>
      </c>
      <c r="H4" s="6" t="b">
        <v>1</v>
      </c>
      <c r="I4" s="5" t="s">
        <v>944</v>
      </c>
      <c r="J4" s="5" t="s">
        <v>945</v>
      </c>
    </row>
    <row r="5" spans="1:26" ht="28.5">
      <c r="A5" s="5" t="s">
        <v>67</v>
      </c>
      <c r="B5" s="5" t="s">
        <v>67</v>
      </c>
      <c r="C5" s="5" t="s">
        <v>65</v>
      </c>
      <c r="D5" s="5" t="s">
        <v>335</v>
      </c>
      <c r="E5" s="5" t="s">
        <v>630</v>
      </c>
      <c r="F5" s="5" t="s">
        <v>752</v>
      </c>
      <c r="G5" s="5" t="s">
        <v>943</v>
      </c>
      <c r="H5" s="6" t="b">
        <v>1</v>
      </c>
      <c r="I5" s="5" t="s">
        <v>944</v>
      </c>
      <c r="J5" s="5" t="s">
        <v>945</v>
      </c>
    </row>
    <row r="6" spans="1:26" ht="28.5">
      <c r="A6" s="5" t="s">
        <v>67</v>
      </c>
      <c r="B6" s="5" t="s">
        <v>67</v>
      </c>
      <c r="C6" s="5" t="s">
        <v>209</v>
      </c>
      <c r="D6" s="5" t="s">
        <v>335</v>
      </c>
      <c r="E6" s="5" t="s">
        <v>692</v>
      </c>
      <c r="F6" s="5" t="s">
        <v>752</v>
      </c>
      <c r="G6" s="5" t="s">
        <v>943</v>
      </c>
      <c r="H6" s="6" t="b">
        <v>1</v>
      </c>
      <c r="I6" s="5" t="s">
        <v>944</v>
      </c>
      <c r="J6" s="5" t="s">
        <v>945</v>
      </c>
    </row>
    <row r="7" spans="1:26" ht="28.5">
      <c r="A7" s="5" t="s">
        <v>73</v>
      </c>
      <c r="B7" s="5" t="s">
        <v>73</v>
      </c>
      <c r="C7" s="5" t="s">
        <v>65</v>
      </c>
      <c r="D7" s="5" t="s">
        <v>284</v>
      </c>
      <c r="E7" s="5" t="s">
        <v>632</v>
      </c>
      <c r="F7" s="5" t="s">
        <v>727</v>
      </c>
      <c r="G7" s="5" t="s">
        <v>943</v>
      </c>
      <c r="H7" s="6" t="b">
        <v>1</v>
      </c>
      <c r="I7" s="5" t="s">
        <v>944</v>
      </c>
      <c r="J7" s="5" t="s">
        <v>945</v>
      </c>
    </row>
    <row r="8" spans="1:26" ht="28.5">
      <c r="A8" s="5" t="s">
        <v>75</v>
      </c>
      <c r="B8" s="5" t="s">
        <v>75</v>
      </c>
      <c r="C8" s="5" t="s">
        <v>65</v>
      </c>
      <c r="D8" s="5" t="s">
        <v>444</v>
      </c>
      <c r="E8" s="5" t="s">
        <v>633</v>
      </c>
      <c r="F8" s="5" t="s">
        <v>812</v>
      </c>
      <c r="G8" s="5" t="s">
        <v>943</v>
      </c>
      <c r="H8" s="6" t="b">
        <v>1</v>
      </c>
      <c r="I8" s="5" t="s">
        <v>944</v>
      </c>
      <c r="J8" s="5" t="s">
        <v>945</v>
      </c>
    </row>
    <row r="9" spans="1:26" ht="28.5">
      <c r="A9" s="5" t="s">
        <v>79</v>
      </c>
      <c r="B9" s="5" t="s">
        <v>79</v>
      </c>
      <c r="C9" s="5" t="s">
        <v>65</v>
      </c>
      <c r="D9" s="5" t="s">
        <v>89</v>
      </c>
      <c r="E9" s="5" t="s">
        <v>634</v>
      </c>
      <c r="F9" s="5" t="s">
        <v>638</v>
      </c>
      <c r="G9" s="5" t="s">
        <v>943</v>
      </c>
      <c r="H9" s="6" t="b">
        <v>1</v>
      </c>
      <c r="I9" s="5" t="s">
        <v>944</v>
      </c>
      <c r="J9" s="5" t="s">
        <v>945</v>
      </c>
    </row>
    <row r="10" spans="1:26" ht="28.5">
      <c r="A10" s="5" t="s">
        <v>91</v>
      </c>
      <c r="B10" s="5" t="s">
        <v>91</v>
      </c>
      <c r="C10" s="5" t="s">
        <v>89</v>
      </c>
      <c r="D10" s="5" t="s">
        <v>209</v>
      </c>
      <c r="E10" s="5" t="s">
        <v>641</v>
      </c>
      <c r="F10" s="5" t="s">
        <v>693</v>
      </c>
      <c r="G10" s="5" t="s">
        <v>943</v>
      </c>
      <c r="H10" s="6" t="b">
        <v>1</v>
      </c>
      <c r="I10" s="5" t="s">
        <v>944</v>
      </c>
      <c r="J10" s="5" t="s">
        <v>945</v>
      </c>
    </row>
    <row r="11" spans="1:26" ht="28.5">
      <c r="A11" s="5" t="s">
        <v>95</v>
      </c>
      <c r="B11" s="5" t="s">
        <v>95</v>
      </c>
      <c r="C11" s="5" t="s">
        <v>89</v>
      </c>
      <c r="D11" s="5" t="s">
        <v>335</v>
      </c>
      <c r="E11" s="5" t="s">
        <v>642</v>
      </c>
      <c r="F11" s="5" t="s">
        <v>754</v>
      </c>
      <c r="G11" s="5" t="s">
        <v>943</v>
      </c>
      <c r="H11" s="6" t="b">
        <v>1</v>
      </c>
      <c r="I11" s="5" t="s">
        <v>944</v>
      </c>
      <c r="J11" s="5" t="s">
        <v>945</v>
      </c>
    </row>
    <row r="12" spans="1:26" ht="28.5">
      <c r="A12" s="5" t="s">
        <v>99</v>
      </c>
      <c r="B12" s="5" t="s">
        <v>99</v>
      </c>
      <c r="C12" s="5" t="s">
        <v>89</v>
      </c>
      <c r="D12" s="5" t="s">
        <v>284</v>
      </c>
      <c r="E12" s="5" t="s">
        <v>643</v>
      </c>
      <c r="F12" s="5" t="s">
        <v>728</v>
      </c>
      <c r="G12" s="5" t="s">
        <v>943</v>
      </c>
      <c r="H12" s="6" t="b">
        <v>1</v>
      </c>
      <c r="I12" s="5" t="s">
        <v>944</v>
      </c>
      <c r="J12" s="5" t="s">
        <v>945</v>
      </c>
    </row>
    <row r="13" spans="1:26" ht="28.5">
      <c r="A13" s="5" t="s">
        <v>99</v>
      </c>
      <c r="B13" s="5" t="s">
        <v>99</v>
      </c>
      <c r="C13" s="5" t="s">
        <v>89</v>
      </c>
      <c r="D13" s="5" t="s">
        <v>335</v>
      </c>
      <c r="E13" s="5" t="s">
        <v>643</v>
      </c>
      <c r="F13" s="5" t="s">
        <v>755</v>
      </c>
      <c r="G13" s="5" t="s">
        <v>943</v>
      </c>
      <c r="H13" s="6" t="b">
        <v>1</v>
      </c>
      <c r="I13" s="5" t="s">
        <v>944</v>
      </c>
      <c r="J13" s="5" t="s">
        <v>945</v>
      </c>
    </row>
    <row r="14" spans="1:26" ht="28.5">
      <c r="A14" s="5" t="s">
        <v>99</v>
      </c>
      <c r="B14" s="5" t="s">
        <v>99</v>
      </c>
      <c r="C14" s="5" t="s">
        <v>284</v>
      </c>
      <c r="D14" s="5" t="s">
        <v>335</v>
      </c>
      <c r="E14" s="5" t="s">
        <v>728</v>
      </c>
      <c r="F14" s="5" t="s">
        <v>755</v>
      </c>
      <c r="G14" s="5" t="s">
        <v>943</v>
      </c>
      <c r="H14" s="6" t="b">
        <v>1</v>
      </c>
      <c r="I14" s="5" t="s">
        <v>944</v>
      </c>
      <c r="J14" s="5" t="s">
        <v>945</v>
      </c>
    </row>
    <row r="15" spans="1:26" ht="28.5">
      <c r="A15" s="5" t="s">
        <v>104</v>
      </c>
      <c r="B15" s="5" t="s">
        <v>104</v>
      </c>
      <c r="C15" s="5" t="s">
        <v>89</v>
      </c>
      <c r="D15" s="5" t="s">
        <v>444</v>
      </c>
      <c r="E15" s="5" t="s">
        <v>644</v>
      </c>
      <c r="F15" s="5" t="s">
        <v>813</v>
      </c>
      <c r="G15" s="5" t="s">
        <v>943</v>
      </c>
      <c r="H15" s="6" t="b">
        <v>1</v>
      </c>
      <c r="I15" s="5" t="s">
        <v>944</v>
      </c>
      <c r="J15" s="5" t="s">
        <v>945</v>
      </c>
    </row>
    <row r="16" spans="1:26" ht="28.5">
      <c r="A16" s="5" t="s">
        <v>110</v>
      </c>
      <c r="B16" s="5" t="s">
        <v>110</v>
      </c>
      <c r="C16" s="5" t="s">
        <v>89</v>
      </c>
      <c r="D16" s="5" t="s">
        <v>335</v>
      </c>
      <c r="E16" s="5" t="s">
        <v>646</v>
      </c>
      <c r="F16" s="5" t="s">
        <v>756</v>
      </c>
      <c r="G16" s="5" t="s">
        <v>943</v>
      </c>
      <c r="H16" s="6" t="b">
        <v>1</v>
      </c>
      <c r="I16" s="5" t="s">
        <v>944</v>
      </c>
      <c r="J16" s="5" t="s">
        <v>945</v>
      </c>
    </row>
    <row r="17" spans="1:10" ht="28.5">
      <c r="A17" s="5" t="s">
        <v>119</v>
      </c>
      <c r="B17" s="5" t="s">
        <v>119</v>
      </c>
      <c r="C17" s="5" t="s">
        <v>89</v>
      </c>
      <c r="D17" s="5" t="s">
        <v>511</v>
      </c>
      <c r="E17" s="5" t="s">
        <v>651</v>
      </c>
      <c r="F17" s="5" t="s">
        <v>851</v>
      </c>
      <c r="G17" s="5" t="s">
        <v>943</v>
      </c>
      <c r="H17" s="6" t="b">
        <v>1</v>
      </c>
      <c r="I17" s="5" t="s">
        <v>944</v>
      </c>
      <c r="J17" s="5" t="s">
        <v>945</v>
      </c>
    </row>
    <row r="18" spans="1:10" ht="28.5">
      <c r="A18" s="5" t="s">
        <v>129</v>
      </c>
      <c r="B18" s="5" t="s">
        <v>129</v>
      </c>
      <c r="C18" s="5" t="s">
        <v>89</v>
      </c>
      <c r="D18" s="5" t="s">
        <v>582</v>
      </c>
      <c r="E18" s="5" t="s">
        <v>655</v>
      </c>
      <c r="F18" s="5" t="s">
        <v>892</v>
      </c>
      <c r="G18" s="5" t="s">
        <v>943</v>
      </c>
      <c r="H18" s="6" t="b">
        <v>1</v>
      </c>
      <c r="I18" s="5" t="s">
        <v>944</v>
      </c>
      <c r="J18" s="5" t="s">
        <v>945</v>
      </c>
    </row>
    <row r="19" spans="1:10" ht="28.5">
      <c r="A19" s="5" t="s">
        <v>145</v>
      </c>
      <c r="B19" s="5" t="s">
        <v>145</v>
      </c>
      <c r="C19" s="5" t="s">
        <v>89</v>
      </c>
      <c r="D19" s="5" t="s">
        <v>209</v>
      </c>
      <c r="E19" s="5" t="s">
        <v>662</v>
      </c>
      <c r="F19" s="5" t="s">
        <v>694</v>
      </c>
      <c r="G19" s="5" t="s">
        <v>943</v>
      </c>
      <c r="H19" s="6" t="b">
        <v>1</v>
      </c>
      <c r="I19" s="5" t="s">
        <v>944</v>
      </c>
      <c r="J19" s="5" t="s">
        <v>945</v>
      </c>
    </row>
    <row r="20" spans="1:10" ht="28.5">
      <c r="A20" s="5" t="s">
        <v>151</v>
      </c>
      <c r="B20" s="5" t="s">
        <v>151</v>
      </c>
      <c r="C20" s="5" t="s">
        <v>89</v>
      </c>
      <c r="D20" s="5" t="s">
        <v>284</v>
      </c>
      <c r="E20" s="5" t="s">
        <v>665</v>
      </c>
      <c r="F20" s="5" t="s">
        <v>729</v>
      </c>
      <c r="G20" s="5" t="s">
        <v>943</v>
      </c>
      <c r="H20" s="6" t="b">
        <v>1</v>
      </c>
      <c r="I20" s="5" t="s">
        <v>944</v>
      </c>
      <c r="J20" s="5" t="s">
        <v>945</v>
      </c>
    </row>
    <row r="21" spans="1:10" ht="28.5">
      <c r="A21" s="5" t="s">
        <v>167</v>
      </c>
      <c r="B21" s="5" t="s">
        <v>167</v>
      </c>
      <c r="C21" s="5" t="s">
        <v>89</v>
      </c>
      <c r="D21" s="5" t="s">
        <v>511</v>
      </c>
      <c r="E21" s="5" t="s">
        <v>672</v>
      </c>
      <c r="F21" s="5" t="s">
        <v>852</v>
      </c>
      <c r="G21" s="5" t="s">
        <v>943</v>
      </c>
      <c r="H21" s="6" t="b">
        <v>1</v>
      </c>
      <c r="I21" s="5" t="s">
        <v>944</v>
      </c>
      <c r="J21" s="5" t="s">
        <v>945</v>
      </c>
    </row>
    <row r="22" spans="1:10" ht="28.5">
      <c r="A22" s="5" t="s">
        <v>174</v>
      </c>
      <c r="B22" s="5" t="s">
        <v>174</v>
      </c>
      <c r="C22" s="5" t="s">
        <v>89</v>
      </c>
      <c r="D22" s="5" t="s">
        <v>335</v>
      </c>
      <c r="E22" s="5" t="s">
        <v>676</v>
      </c>
      <c r="F22" s="5" t="s">
        <v>757</v>
      </c>
      <c r="G22" s="5" t="s">
        <v>943</v>
      </c>
      <c r="H22" s="6" t="b">
        <v>1</v>
      </c>
      <c r="I22" s="5" t="s">
        <v>944</v>
      </c>
      <c r="J22" s="5" t="s">
        <v>945</v>
      </c>
    </row>
    <row r="23" spans="1:10" ht="28.5">
      <c r="A23" s="5" t="s">
        <v>178</v>
      </c>
      <c r="B23" s="5" t="s">
        <v>178</v>
      </c>
      <c r="C23" s="5" t="s">
        <v>89</v>
      </c>
      <c r="D23" s="5" t="s">
        <v>444</v>
      </c>
      <c r="E23" s="5" t="s">
        <v>678</v>
      </c>
      <c r="F23" s="5" t="s">
        <v>814</v>
      </c>
      <c r="G23" s="5" t="s">
        <v>943</v>
      </c>
      <c r="H23" s="6" t="b">
        <v>1</v>
      </c>
      <c r="I23" s="5" t="s">
        <v>944</v>
      </c>
      <c r="J23" s="5" t="s">
        <v>945</v>
      </c>
    </row>
    <row r="24" spans="1:10" ht="28.5">
      <c r="A24" s="5" t="s">
        <v>188</v>
      </c>
      <c r="B24" s="5" t="s">
        <v>188</v>
      </c>
      <c r="C24" s="5" t="s">
        <v>89</v>
      </c>
      <c r="D24" s="5" t="s">
        <v>335</v>
      </c>
      <c r="E24" s="5" t="s">
        <v>683</v>
      </c>
      <c r="F24" s="5" t="s">
        <v>758</v>
      </c>
      <c r="G24" s="5" t="s">
        <v>943</v>
      </c>
      <c r="H24" s="6" t="b">
        <v>1</v>
      </c>
      <c r="I24" s="5" t="s">
        <v>944</v>
      </c>
      <c r="J24" s="5" t="s">
        <v>945</v>
      </c>
    </row>
    <row r="25" spans="1:10" ht="28.5">
      <c r="A25" s="5" t="s">
        <v>204</v>
      </c>
      <c r="B25" s="5" t="s">
        <v>204</v>
      </c>
      <c r="C25" s="5" t="s">
        <v>89</v>
      </c>
      <c r="D25" s="5" t="s">
        <v>335</v>
      </c>
      <c r="E25" s="5" t="s">
        <v>691</v>
      </c>
      <c r="F25" s="5" t="s">
        <v>759</v>
      </c>
      <c r="G25" s="5" t="s">
        <v>943</v>
      </c>
      <c r="H25" s="6" t="b">
        <v>1</v>
      </c>
      <c r="I25" s="5" t="s">
        <v>944</v>
      </c>
      <c r="J25" s="5" t="s">
        <v>945</v>
      </c>
    </row>
    <row r="26" spans="1:10" ht="28.5">
      <c r="A26" s="5" t="s">
        <v>213</v>
      </c>
      <c r="B26" s="5" t="s">
        <v>213</v>
      </c>
      <c r="C26" s="5" t="s">
        <v>209</v>
      </c>
      <c r="D26" s="5" t="s">
        <v>444</v>
      </c>
      <c r="E26" s="5" t="s">
        <v>697</v>
      </c>
      <c r="F26" s="5" t="s">
        <v>815</v>
      </c>
      <c r="G26" s="5" t="s">
        <v>943</v>
      </c>
      <c r="H26" s="6" t="b">
        <v>1</v>
      </c>
      <c r="I26" s="5" t="s">
        <v>944</v>
      </c>
      <c r="J26" s="5" t="s">
        <v>945</v>
      </c>
    </row>
    <row r="27" spans="1:10" ht="28.5">
      <c r="A27" s="5" t="s">
        <v>217</v>
      </c>
      <c r="B27" s="5" t="s">
        <v>217</v>
      </c>
      <c r="C27" s="5" t="s">
        <v>209</v>
      </c>
      <c r="D27" s="5" t="s">
        <v>444</v>
      </c>
      <c r="E27" s="5" t="s">
        <v>698</v>
      </c>
      <c r="F27" s="5" t="s">
        <v>816</v>
      </c>
      <c r="G27" s="5" t="s">
        <v>943</v>
      </c>
      <c r="H27" s="6" t="b">
        <v>1</v>
      </c>
      <c r="I27" s="5" t="s">
        <v>944</v>
      </c>
      <c r="J27" s="5" t="s">
        <v>945</v>
      </c>
    </row>
    <row r="28" spans="1:10" ht="28.5">
      <c r="A28" s="5" t="s">
        <v>232</v>
      </c>
      <c r="B28" s="5" t="s">
        <v>232</v>
      </c>
      <c r="C28" s="5" t="s">
        <v>209</v>
      </c>
      <c r="D28" s="5" t="s">
        <v>284</v>
      </c>
      <c r="E28" s="5" t="s">
        <v>705</v>
      </c>
      <c r="F28" s="5" t="s">
        <v>730</v>
      </c>
      <c r="G28" s="5" t="s">
        <v>943</v>
      </c>
      <c r="H28" s="6" t="b">
        <v>1</v>
      </c>
      <c r="I28" s="5" t="s">
        <v>944</v>
      </c>
      <c r="J28" s="5" t="s">
        <v>945</v>
      </c>
    </row>
    <row r="29" spans="1:10" ht="28.5">
      <c r="A29" s="5" t="s">
        <v>238</v>
      </c>
      <c r="B29" s="5" t="s">
        <v>238</v>
      </c>
      <c r="C29" s="5" t="s">
        <v>209</v>
      </c>
      <c r="D29" s="5" t="s">
        <v>444</v>
      </c>
      <c r="E29" s="5" t="s">
        <v>707</v>
      </c>
      <c r="F29" s="5" t="s">
        <v>817</v>
      </c>
      <c r="G29" s="5" t="s">
        <v>943</v>
      </c>
      <c r="H29" s="6" t="b">
        <v>1</v>
      </c>
      <c r="I29" s="5" t="s">
        <v>944</v>
      </c>
      <c r="J29" s="5" t="s">
        <v>945</v>
      </c>
    </row>
    <row r="30" spans="1:10" ht="28.5">
      <c r="A30" s="5" t="s">
        <v>250</v>
      </c>
      <c r="B30" s="5" t="s">
        <v>250</v>
      </c>
      <c r="C30" s="5" t="s">
        <v>209</v>
      </c>
      <c r="D30" s="5" t="s">
        <v>511</v>
      </c>
      <c r="E30" s="5" t="s">
        <v>713</v>
      </c>
      <c r="F30" s="5" t="s">
        <v>853</v>
      </c>
      <c r="G30" s="5" t="s">
        <v>943</v>
      </c>
      <c r="H30" s="6" t="b">
        <v>1</v>
      </c>
      <c r="I30" s="5" t="s">
        <v>944</v>
      </c>
      <c r="J30" s="5" t="s">
        <v>945</v>
      </c>
    </row>
    <row r="31" spans="1:10" ht="28.5">
      <c r="A31" s="5" t="s">
        <v>272</v>
      </c>
      <c r="B31" s="5" t="s">
        <v>272</v>
      </c>
      <c r="C31" s="5" t="s">
        <v>209</v>
      </c>
      <c r="D31" s="5" t="s">
        <v>582</v>
      </c>
      <c r="E31" s="5" t="s">
        <v>723</v>
      </c>
      <c r="F31" s="5" t="s">
        <v>893</v>
      </c>
      <c r="G31" s="5" t="s">
        <v>943</v>
      </c>
      <c r="H31" s="6" t="b">
        <v>1</v>
      </c>
      <c r="I31" s="5" t="s">
        <v>944</v>
      </c>
      <c r="J31" s="5" t="s">
        <v>945</v>
      </c>
    </row>
    <row r="32" spans="1:10" ht="28.5">
      <c r="A32" s="5" t="s">
        <v>278</v>
      </c>
      <c r="B32" s="5" t="s">
        <v>278</v>
      </c>
      <c r="C32" s="5" t="s">
        <v>209</v>
      </c>
      <c r="D32" s="5" t="s">
        <v>335</v>
      </c>
      <c r="E32" s="5" t="s">
        <v>725</v>
      </c>
      <c r="F32" s="5" t="s">
        <v>760</v>
      </c>
      <c r="G32" s="5" t="s">
        <v>943</v>
      </c>
      <c r="H32" s="6" t="b">
        <v>1</v>
      </c>
      <c r="I32" s="5" t="s">
        <v>944</v>
      </c>
      <c r="J32" s="5" t="s">
        <v>945</v>
      </c>
    </row>
    <row r="33" spans="1:10" ht="28.5">
      <c r="A33" s="5" t="s">
        <v>289</v>
      </c>
      <c r="B33" s="5" t="s">
        <v>289</v>
      </c>
      <c r="C33" s="5" t="s">
        <v>284</v>
      </c>
      <c r="D33" s="5" t="s">
        <v>511</v>
      </c>
      <c r="E33" s="5" t="s">
        <v>733</v>
      </c>
      <c r="F33" s="5" t="s">
        <v>854</v>
      </c>
      <c r="G33" s="5" t="s">
        <v>943</v>
      </c>
      <c r="H33" s="6" t="b">
        <v>1</v>
      </c>
      <c r="I33" s="5" t="s">
        <v>944</v>
      </c>
      <c r="J33" s="5" t="s">
        <v>945</v>
      </c>
    </row>
    <row r="34" spans="1:10" ht="28.5">
      <c r="A34" s="5" t="s">
        <v>318</v>
      </c>
      <c r="B34" s="5" t="s">
        <v>318</v>
      </c>
      <c r="C34" s="5" t="s">
        <v>284</v>
      </c>
      <c r="D34" s="5" t="s">
        <v>444</v>
      </c>
      <c r="E34" s="5" t="s">
        <v>746</v>
      </c>
      <c r="F34" s="5" t="s">
        <v>818</v>
      </c>
      <c r="G34" s="5" t="s">
        <v>943</v>
      </c>
      <c r="H34" s="6" t="b">
        <v>1</v>
      </c>
      <c r="I34" s="5" t="s">
        <v>944</v>
      </c>
      <c r="J34" s="5" t="s">
        <v>945</v>
      </c>
    </row>
    <row r="35" spans="1:10" ht="28.5">
      <c r="A35" s="5" t="s">
        <v>328</v>
      </c>
      <c r="B35" s="5" t="s">
        <v>328</v>
      </c>
      <c r="C35" s="5" t="s">
        <v>284</v>
      </c>
      <c r="D35" s="5" t="s">
        <v>511</v>
      </c>
      <c r="E35" s="5" t="s">
        <v>750</v>
      </c>
      <c r="F35" s="5" t="s">
        <v>855</v>
      </c>
      <c r="G35" s="5" t="s">
        <v>943</v>
      </c>
      <c r="H35" s="6" t="b">
        <v>1</v>
      </c>
      <c r="I35" s="5" t="s">
        <v>944</v>
      </c>
      <c r="J35" s="5" t="s">
        <v>945</v>
      </c>
    </row>
    <row r="36" spans="1:10" ht="28.5">
      <c r="A36" s="5" t="s">
        <v>369</v>
      </c>
      <c r="B36" s="5" t="s">
        <v>369</v>
      </c>
      <c r="C36" s="5" t="s">
        <v>335</v>
      </c>
      <c r="D36" s="5" t="s">
        <v>444</v>
      </c>
      <c r="E36" s="5" t="s">
        <v>779</v>
      </c>
      <c r="F36" s="5" t="s">
        <v>819</v>
      </c>
      <c r="G36" s="5" t="s">
        <v>943</v>
      </c>
      <c r="H36" s="6" t="b">
        <v>1</v>
      </c>
      <c r="I36" s="5" t="s">
        <v>944</v>
      </c>
      <c r="J36" s="5" t="s">
        <v>945</v>
      </c>
    </row>
    <row r="37" spans="1:10" ht="28.5">
      <c r="A37" s="5" t="s">
        <v>380</v>
      </c>
      <c r="B37" s="5" t="s">
        <v>380</v>
      </c>
      <c r="C37" s="5" t="s">
        <v>335</v>
      </c>
      <c r="D37" s="5" t="s">
        <v>444</v>
      </c>
      <c r="E37" s="5" t="s">
        <v>783</v>
      </c>
      <c r="F37" s="5" t="s">
        <v>820</v>
      </c>
      <c r="G37" s="5" t="s">
        <v>943</v>
      </c>
      <c r="H37" s="6" t="b">
        <v>1</v>
      </c>
      <c r="I37" s="5" t="s">
        <v>944</v>
      </c>
      <c r="J37" s="5" t="s">
        <v>945</v>
      </c>
    </row>
    <row r="38" spans="1:10" ht="28.5">
      <c r="A38" s="5" t="s">
        <v>392</v>
      </c>
      <c r="B38" s="5" t="s">
        <v>392</v>
      </c>
      <c r="C38" s="5" t="s">
        <v>335</v>
      </c>
      <c r="D38" s="5" t="s">
        <v>511</v>
      </c>
      <c r="E38" s="5" t="s">
        <v>789</v>
      </c>
      <c r="F38" s="5" t="s">
        <v>856</v>
      </c>
      <c r="G38" s="5" t="s">
        <v>943</v>
      </c>
      <c r="H38" s="6" t="b">
        <v>1</v>
      </c>
      <c r="I38" s="5" t="s">
        <v>944</v>
      </c>
      <c r="J38" s="5" t="s">
        <v>945</v>
      </c>
    </row>
    <row r="39" spans="1:10" ht="28.5">
      <c r="A39" s="5" t="s">
        <v>400</v>
      </c>
      <c r="B39" s="5" t="s">
        <v>400</v>
      </c>
      <c r="C39" s="5" t="s">
        <v>335</v>
      </c>
      <c r="D39" s="5" t="s">
        <v>582</v>
      </c>
      <c r="E39" s="5" t="s">
        <v>792</v>
      </c>
      <c r="F39" s="5" t="s">
        <v>894</v>
      </c>
      <c r="G39" s="5" t="s">
        <v>943</v>
      </c>
      <c r="H39" s="6" t="b">
        <v>1</v>
      </c>
      <c r="I39" s="5" t="s">
        <v>944</v>
      </c>
      <c r="J39" s="5" t="s">
        <v>945</v>
      </c>
    </row>
    <row r="40" spans="1:10" ht="28.5">
      <c r="A40" s="5" t="s">
        <v>499</v>
      </c>
      <c r="B40" s="5" t="s">
        <v>499</v>
      </c>
      <c r="C40" s="5" t="s">
        <v>444</v>
      </c>
      <c r="D40" s="5" t="s">
        <v>511</v>
      </c>
      <c r="E40" s="5" t="s">
        <v>847</v>
      </c>
      <c r="F40" s="5" t="s">
        <v>857</v>
      </c>
      <c r="G40" s="5" t="s">
        <v>943</v>
      </c>
      <c r="H40" s="6" t="b">
        <v>1</v>
      </c>
      <c r="I40" s="5" t="s">
        <v>944</v>
      </c>
      <c r="J40" s="5" t="s">
        <v>945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"/>
  <sheetViews>
    <sheetView workbookViewId="0"/>
  </sheetViews>
  <sheetFormatPr defaultRowHeight="14.25"/>
  <cols>
    <col min="1" max="1" width="12" customWidth="1"/>
    <col min="2" max="2" width="28" customWidth="1"/>
    <col min="3" max="3" width="38" customWidth="1"/>
    <col min="4" max="4" width="22" customWidth="1"/>
    <col min="5" max="5" width="80" customWidth="1"/>
  </cols>
  <sheetData>
    <row r="1" spans="1:26" ht="27.95" customHeight="1">
      <c r="A1" s="12" t="s">
        <v>946</v>
      </c>
      <c r="B1" s="12" t="s">
        <v>947</v>
      </c>
      <c r="C1" s="12" t="s">
        <v>948</v>
      </c>
      <c r="D1" s="12" t="s">
        <v>949</v>
      </c>
      <c r="E1" s="12" t="s">
        <v>21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>
        <v>1</v>
      </c>
      <c r="B2" s="5" t="s">
        <v>950</v>
      </c>
      <c r="C2" s="5" t="s">
        <v>951</v>
      </c>
      <c r="D2" s="5" t="s">
        <v>952</v>
      </c>
      <c r="E2" s="5" t="s">
        <v>953</v>
      </c>
    </row>
    <row r="3" spans="1:26">
      <c r="A3" s="5">
        <v>2</v>
      </c>
      <c r="B3" s="5" t="s">
        <v>954</v>
      </c>
      <c r="C3" s="5" t="s">
        <v>955</v>
      </c>
      <c r="D3" s="5" t="s">
        <v>956</v>
      </c>
      <c r="E3" s="5" t="s">
        <v>957</v>
      </c>
    </row>
    <row r="4" spans="1:26">
      <c r="A4" s="5">
        <v>3</v>
      </c>
      <c r="B4" s="5" t="s">
        <v>958</v>
      </c>
      <c r="C4" s="5" t="s">
        <v>959</v>
      </c>
      <c r="D4" s="5" t="s">
        <v>919</v>
      </c>
      <c r="E4" s="5" t="s">
        <v>960</v>
      </c>
    </row>
    <row r="5" spans="1:26">
      <c r="A5" s="5">
        <v>4</v>
      </c>
      <c r="B5" s="5" t="s">
        <v>961</v>
      </c>
      <c r="C5" s="5" t="s">
        <v>962</v>
      </c>
      <c r="D5" s="5" t="s">
        <v>963</v>
      </c>
      <c r="E5" s="5" t="s">
        <v>964</v>
      </c>
    </row>
    <row r="6" spans="1:26">
      <c r="A6" s="5">
        <v>5</v>
      </c>
      <c r="B6" s="5" t="s">
        <v>965</v>
      </c>
      <c r="C6" s="5" t="s">
        <v>966</v>
      </c>
      <c r="D6" s="5" t="s">
        <v>967</v>
      </c>
      <c r="E6" s="5" t="s">
        <v>968</v>
      </c>
    </row>
    <row r="7" spans="1:26">
      <c r="A7" s="5">
        <v>6</v>
      </c>
      <c r="B7" s="5" t="s">
        <v>969</v>
      </c>
      <c r="C7" s="5" t="s">
        <v>970</v>
      </c>
      <c r="D7" s="5" t="s">
        <v>971</v>
      </c>
      <c r="E7" s="5" t="s">
        <v>972</v>
      </c>
    </row>
    <row r="8" spans="1:26">
      <c r="A8" s="5">
        <v>7</v>
      </c>
      <c r="B8" s="5" t="s">
        <v>973</v>
      </c>
      <c r="C8" s="5" t="s">
        <v>974</v>
      </c>
      <c r="D8" s="5" t="s">
        <v>975</v>
      </c>
      <c r="E8" s="5" t="s">
        <v>976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3"/>
  <sheetViews>
    <sheetView workbookViewId="0"/>
  </sheetViews>
  <sheetFormatPr defaultRowHeight="14.25"/>
  <cols>
    <col min="1" max="1" width="10" customWidth="1"/>
    <col min="2" max="4" width="20" customWidth="1"/>
    <col min="5" max="5" width="36" customWidth="1"/>
    <col min="6" max="6" width="60" customWidth="1"/>
  </cols>
  <sheetData>
    <row r="1" spans="1:26" ht="27.95" customHeight="1">
      <c r="A1" s="12" t="s">
        <v>617</v>
      </c>
      <c r="B1" s="12" t="s">
        <v>933</v>
      </c>
      <c r="C1" s="12" t="s">
        <v>977</v>
      </c>
      <c r="D1" s="12" t="s">
        <v>978</v>
      </c>
      <c r="E1" s="12" t="s">
        <v>979</v>
      </c>
      <c r="F1" s="12" t="s">
        <v>21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>
        <v>1</v>
      </c>
      <c r="B2" s="5" t="s">
        <v>627</v>
      </c>
      <c r="C2" s="5" t="s">
        <v>56</v>
      </c>
      <c r="D2" s="5" t="s">
        <v>84</v>
      </c>
      <c r="E2" s="5" t="s">
        <v>980</v>
      </c>
      <c r="F2" s="5" t="s">
        <v>981</v>
      </c>
    </row>
    <row r="3" spans="1:26">
      <c r="A3" s="5">
        <v>2</v>
      </c>
      <c r="B3" s="5" t="s">
        <v>627</v>
      </c>
      <c r="C3" s="5" t="s">
        <v>982</v>
      </c>
      <c r="D3" s="5" t="s">
        <v>982</v>
      </c>
      <c r="E3" s="5" t="s">
        <v>983</v>
      </c>
      <c r="F3" s="5" t="s">
        <v>984</v>
      </c>
    </row>
    <row r="4" spans="1:26">
      <c r="A4" s="5">
        <v>2</v>
      </c>
      <c r="B4" s="5" t="s">
        <v>639</v>
      </c>
      <c r="C4" s="5" t="s">
        <v>116</v>
      </c>
      <c r="D4" s="5" t="s">
        <v>79</v>
      </c>
      <c r="E4" s="5" t="s">
        <v>985</v>
      </c>
      <c r="F4" s="5" t="s">
        <v>986</v>
      </c>
    </row>
    <row r="5" spans="1:26">
      <c r="A5" s="5">
        <v>2</v>
      </c>
      <c r="B5" s="5" t="s">
        <v>688</v>
      </c>
      <c r="C5" s="5" t="s">
        <v>169</v>
      </c>
      <c r="D5" s="5" t="s">
        <v>204</v>
      </c>
      <c r="E5" s="5" t="s">
        <v>987</v>
      </c>
      <c r="F5" s="5" t="s">
        <v>988</v>
      </c>
    </row>
    <row r="6" spans="1:26">
      <c r="A6" s="5">
        <v>3</v>
      </c>
      <c r="B6" s="5" t="s">
        <v>627</v>
      </c>
      <c r="C6" s="5" t="s">
        <v>207</v>
      </c>
      <c r="D6" s="5" t="s">
        <v>278</v>
      </c>
      <c r="E6" s="5" t="s">
        <v>989</v>
      </c>
      <c r="F6" s="5"/>
    </row>
    <row r="7" spans="1:26">
      <c r="A7" s="5">
        <v>4</v>
      </c>
      <c r="B7" s="5" t="s">
        <v>627</v>
      </c>
      <c r="C7" s="5" t="s">
        <v>282</v>
      </c>
      <c r="D7" s="5" t="s">
        <v>331</v>
      </c>
      <c r="E7" s="5" t="s">
        <v>990</v>
      </c>
      <c r="F7" s="5" t="s">
        <v>991</v>
      </c>
    </row>
    <row r="8" spans="1:26">
      <c r="A8" s="5">
        <v>5</v>
      </c>
      <c r="B8" s="5" t="s">
        <v>753</v>
      </c>
      <c r="C8" s="5" t="s">
        <v>333</v>
      </c>
      <c r="D8" s="5" t="s">
        <v>404</v>
      </c>
      <c r="E8" s="5" t="s">
        <v>992</v>
      </c>
      <c r="F8" s="5" t="s">
        <v>993</v>
      </c>
    </row>
    <row r="9" spans="1:26">
      <c r="A9" s="5">
        <v>5</v>
      </c>
      <c r="B9" s="5" t="s">
        <v>796</v>
      </c>
      <c r="C9" s="5" t="s">
        <v>404</v>
      </c>
      <c r="D9" s="5" t="s">
        <v>427</v>
      </c>
      <c r="E9" s="5" t="s">
        <v>994</v>
      </c>
      <c r="F9" s="5"/>
    </row>
    <row r="10" spans="1:26">
      <c r="A10" s="5">
        <v>5</v>
      </c>
      <c r="B10" s="5" t="s">
        <v>761</v>
      </c>
      <c r="C10" s="5" t="s">
        <v>404</v>
      </c>
      <c r="D10" s="5" t="s">
        <v>440</v>
      </c>
      <c r="E10" s="5" t="s">
        <v>995</v>
      </c>
      <c r="F10" s="5"/>
    </row>
    <row r="11" spans="1:26">
      <c r="A11" s="5">
        <v>6</v>
      </c>
      <c r="B11" s="5" t="s">
        <v>627</v>
      </c>
      <c r="C11" s="5" t="s">
        <v>442</v>
      </c>
      <c r="D11" s="5" t="s">
        <v>507</v>
      </c>
      <c r="E11" s="5" t="s">
        <v>996</v>
      </c>
      <c r="F11" s="5" t="s">
        <v>997</v>
      </c>
    </row>
    <row r="12" spans="1:26">
      <c r="A12" s="5">
        <v>7</v>
      </c>
      <c r="B12" s="5" t="s">
        <v>627</v>
      </c>
      <c r="C12" s="5" t="s">
        <v>509</v>
      </c>
      <c r="D12" s="5" t="s">
        <v>578</v>
      </c>
      <c r="E12" s="5" t="s">
        <v>998</v>
      </c>
      <c r="F12" s="5"/>
    </row>
    <row r="13" spans="1:26">
      <c r="A13" s="5">
        <v>8</v>
      </c>
      <c r="B13" s="5" t="s">
        <v>627</v>
      </c>
      <c r="C13" s="5" t="s">
        <v>580</v>
      </c>
      <c r="D13" s="5" t="s">
        <v>612</v>
      </c>
      <c r="E13" s="5" t="s">
        <v>999</v>
      </c>
      <c r="F13" s="5" t="s">
        <v>1000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workbookViewId="0"/>
  </sheetViews>
  <sheetFormatPr defaultRowHeight="14.25"/>
  <cols>
    <col min="1" max="1" width="120" customWidth="1"/>
  </cols>
  <sheetData>
    <row r="1" spans="1:1" ht="27.95" customHeight="1">
      <c r="A1" s="3" t="s">
        <v>1001</v>
      </c>
    </row>
    <row r="2" spans="1:1" ht="28.5">
      <c r="A2" s="2" t="s">
        <v>1002</v>
      </c>
    </row>
    <row r="3" spans="1:1">
      <c r="A3" s="2" t="s">
        <v>1003</v>
      </c>
    </row>
    <row r="4" spans="1:1" ht="28.5">
      <c r="A4" s="2" t="s">
        <v>1004</v>
      </c>
    </row>
    <row r="5" spans="1:1">
      <c r="A5" s="2" t="s">
        <v>1005</v>
      </c>
    </row>
    <row r="6" spans="1:1" ht="28.5">
      <c r="A6" s="2" t="s">
        <v>1006</v>
      </c>
    </row>
    <row r="7" spans="1:1" ht="28.5">
      <c r="A7" s="2" t="s">
        <v>1007</v>
      </c>
    </row>
    <row r="8" spans="1:1" ht="28.5">
      <c r="A8" s="2" t="s">
        <v>1008</v>
      </c>
    </row>
    <row r="9" spans="1:1" ht="28.5">
      <c r="A9" s="2" t="s">
        <v>1009</v>
      </c>
    </row>
    <row r="10" spans="1:1">
      <c r="A10" s="2" t="s">
        <v>1010</v>
      </c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/>
  </sheetViews>
  <sheetFormatPr defaultRowHeight="14.25"/>
  <cols>
    <col min="1" max="1" width="28" customWidth="1"/>
    <col min="2" max="2" width="85" customWidth="1"/>
    <col min="3" max="3" width="70" customWidth="1"/>
  </cols>
  <sheetData>
    <row r="1" spans="1:3" ht="15">
      <c r="A1" s="10" t="s">
        <v>1011</v>
      </c>
      <c r="B1" s="10" t="s">
        <v>1012</v>
      </c>
      <c r="C1" s="10" t="s">
        <v>1013</v>
      </c>
    </row>
    <row r="2" spans="1:3">
      <c r="A2" t="s">
        <v>1014</v>
      </c>
      <c r="B2" t="s">
        <v>1015</v>
      </c>
      <c r="C2" t="s">
        <v>1016</v>
      </c>
    </row>
    <row r="3" spans="1:3">
      <c r="A3" t="s">
        <v>1017</v>
      </c>
      <c r="B3" t="s">
        <v>1018</v>
      </c>
      <c r="C3" t="s">
        <v>1019</v>
      </c>
    </row>
    <row r="4" spans="1:3">
      <c r="A4" t="s">
        <v>1020</v>
      </c>
      <c r="B4" t="s">
        <v>1021</v>
      </c>
      <c r="C4" t="s">
        <v>1022</v>
      </c>
    </row>
    <row r="5" spans="1:3">
      <c r="A5" t="s">
        <v>1023</v>
      </c>
      <c r="B5" t="s">
        <v>1024</v>
      </c>
      <c r="C5" t="s">
        <v>1025</v>
      </c>
    </row>
    <row r="6" spans="1:3">
      <c r="A6" t="s">
        <v>1026</v>
      </c>
      <c r="B6" t="s">
        <v>1027</v>
      </c>
      <c r="C6" t="s">
        <v>1028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Guide</vt:lpstr>
      <vt:lpstr>Config</vt:lpstr>
      <vt:lpstr>Station_Display_Master</vt:lpstr>
      <vt:lpstr>Station_Visual_Nodes</vt:lpstr>
      <vt:lpstr>Station_Click_Areas</vt:lpstr>
      <vt:lpstr>Station_Labels</vt:lpstr>
      <vt:lpstr>Line_Sequences</vt:lpstr>
      <vt:lpstr>Transfer_Links</vt:lpstr>
      <vt:lpstr>Map_Layer_Order</vt:lpstr>
      <vt:lpstr>Project_Scope</vt:lpstr>
      <vt:lpstr>AI_Handoff_Prompt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윤우 이</cp:lastModifiedBy>
  <dcterms:created xsi:type="dcterms:W3CDTF">2026-09-05T06:20:44Z</dcterms:created>
  <dcterms:modified xsi:type="dcterms:W3CDTF">2026-09-06T10:06:27Z</dcterms:modified>
</cp:coreProperties>
</file>